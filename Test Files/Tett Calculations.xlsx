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dmin\Documents\Coding_Python\Budget_App\Rev_3_Import_CSV\Rev2.0\Test Files\"/>
    </mc:Choice>
  </mc:AlternateContent>
  <xr:revisionPtr revIDLastSave="0" documentId="13_ncr:1_{856DCF04-ECEA-4387-8B78-1387884F0B4E}" xr6:coauthVersionLast="47" xr6:coauthVersionMax="47" xr10:uidLastSave="{00000000-0000-0000-0000-000000000000}"/>
  <bookViews>
    <workbookView xWindow="11424" yWindow="0" windowWidth="11712" windowHeight="14736" activeTab="3" xr2:uid="{00000000-000D-0000-FFFF-FFFF00000000}"/>
  </bookViews>
  <sheets>
    <sheet name="Test Account 1" sheetId="1" r:id="rId1"/>
    <sheet name="Test Account 2" sheetId="2" r:id="rId2"/>
    <sheet name="Test Account 3" sheetId="4" r:id="rId3"/>
    <sheet name="Calculations" sheetId="3" r:id="rId4"/>
  </sheets>
  <definedNames>
    <definedName name="_xlnm._FilterDatabase" localSheetId="0" hidden="1">'Test Account 1'!$A$1:$L$125</definedName>
    <definedName name="_xlnm._FilterDatabase" localSheetId="1" hidden="1">'Test Account 2'!$A$1:$L$125</definedName>
    <definedName name="_xlnm._FilterDatabase" localSheetId="2" hidden="1">'Test Account 3'!$A$1:$K$125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3" l="1"/>
  <c r="R6" i="3"/>
  <c r="R5" i="3"/>
  <c r="R4" i="3"/>
  <c r="R3" i="3"/>
  <c r="Q7" i="3"/>
  <c r="Q6" i="3"/>
  <c r="Q5" i="3"/>
  <c r="Q4" i="3"/>
  <c r="Q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C20" i="3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S5" i="3" s="1"/>
  <c r="K3" i="4"/>
  <c r="S4" i="3" s="1"/>
  <c r="K2" i="4"/>
  <c r="S3" i="3" s="1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N2" i="2"/>
  <c r="N2" i="4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E3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E38" i="3" s="1"/>
  <c r="S6" i="3" l="1"/>
  <c r="S7" i="3"/>
  <c r="D11" i="3"/>
  <c r="C19" i="3"/>
  <c r="B3" i="3"/>
  <c r="D3" i="3"/>
  <c r="D19" i="3"/>
  <c r="D12" i="3"/>
  <c r="D4" i="3"/>
  <c r="D20" i="3"/>
  <c r="D27" i="3"/>
  <c r="D28" i="3"/>
  <c r="D35" i="3"/>
  <c r="D36" i="3"/>
  <c r="C28" i="3"/>
  <c r="C27" i="3"/>
  <c r="C3" i="3"/>
  <c r="C35" i="3"/>
  <c r="C4" i="3"/>
  <c r="C36" i="3"/>
  <c r="C11" i="3"/>
  <c r="C12" i="3"/>
  <c r="C5" i="3"/>
  <c r="C21" i="3"/>
  <c r="C37" i="3"/>
  <c r="D5" i="3"/>
  <c r="D21" i="3"/>
  <c r="D37" i="3"/>
  <c r="C6" i="3"/>
  <c r="C14" i="3"/>
  <c r="C22" i="3"/>
  <c r="C30" i="3"/>
  <c r="C38" i="3"/>
  <c r="D6" i="3"/>
  <c r="D14" i="3"/>
  <c r="D22" i="3"/>
  <c r="D30" i="3"/>
  <c r="D38" i="3"/>
  <c r="C13" i="3"/>
  <c r="C29" i="3"/>
  <c r="D13" i="3"/>
  <c r="D29" i="3"/>
  <c r="C7" i="3"/>
  <c r="C15" i="3"/>
  <c r="C23" i="3"/>
  <c r="C31" i="3"/>
  <c r="D7" i="3"/>
  <c r="D15" i="3"/>
  <c r="D23" i="3"/>
  <c r="D31" i="3"/>
  <c r="C8" i="3"/>
  <c r="C16" i="3"/>
  <c r="C24" i="3"/>
  <c r="C32" i="3"/>
  <c r="D8" i="3"/>
  <c r="D16" i="3"/>
  <c r="D24" i="3"/>
  <c r="D32" i="3"/>
  <c r="C9" i="3"/>
  <c r="C17" i="3"/>
  <c r="C25" i="3"/>
  <c r="C33" i="3"/>
  <c r="D9" i="3"/>
  <c r="D17" i="3"/>
  <c r="D25" i="3"/>
  <c r="D33" i="3"/>
  <c r="C10" i="3"/>
  <c r="C18" i="3"/>
  <c r="C26" i="3"/>
  <c r="C34" i="3"/>
  <c r="D10" i="3"/>
  <c r="D18" i="3"/>
  <c r="D26" i="3"/>
  <c r="D34" i="3"/>
  <c r="B35" i="3"/>
  <c r="B5" i="3"/>
  <c r="B13" i="3"/>
  <c r="B21" i="3"/>
  <c r="B29" i="3"/>
  <c r="B37" i="3"/>
  <c r="B6" i="3"/>
  <c r="B14" i="3"/>
  <c r="B22" i="3"/>
  <c r="B30" i="3"/>
  <c r="B38" i="3"/>
  <c r="B7" i="3"/>
  <c r="B15" i="3"/>
  <c r="B23" i="3"/>
  <c r="B31" i="3"/>
  <c r="B11" i="3"/>
  <c r="B4" i="3"/>
  <c r="B28" i="3"/>
  <c r="E24" i="3"/>
  <c r="B8" i="3"/>
  <c r="B16" i="3"/>
  <c r="B24" i="3"/>
  <c r="B32" i="3"/>
  <c r="B19" i="3"/>
  <c r="B12" i="3"/>
  <c r="B9" i="3"/>
  <c r="B17" i="3"/>
  <c r="B25" i="3"/>
  <c r="B33" i="3"/>
  <c r="B27" i="3"/>
  <c r="B20" i="3"/>
  <c r="B36" i="3"/>
  <c r="F36" i="3" s="1"/>
  <c r="E8" i="3"/>
  <c r="E9" i="3"/>
  <c r="B10" i="3"/>
  <c r="B18" i="3"/>
  <c r="B26" i="3"/>
  <c r="B34" i="3"/>
  <c r="E16" i="3"/>
  <c r="E17" i="3"/>
  <c r="E25" i="3"/>
  <c r="E32" i="3"/>
  <c r="E33" i="3"/>
  <c r="E10" i="3"/>
  <c r="E18" i="3"/>
  <c r="E26" i="3"/>
  <c r="E34" i="3"/>
  <c r="E4" i="3"/>
  <c r="E12" i="3"/>
  <c r="E20" i="3"/>
  <c r="E28" i="3"/>
  <c r="E36" i="3"/>
  <c r="E5" i="3"/>
  <c r="E13" i="3"/>
  <c r="E21" i="3"/>
  <c r="E29" i="3"/>
  <c r="E37" i="3"/>
  <c r="A39" i="3"/>
  <c r="E6" i="3"/>
  <c r="E14" i="3"/>
  <c r="E22" i="3"/>
  <c r="E30" i="3"/>
  <c r="E7" i="3"/>
  <c r="E15" i="3"/>
  <c r="E23" i="3"/>
  <c r="E31" i="3"/>
  <c r="E11" i="3"/>
  <c r="E19" i="3"/>
  <c r="E27" i="3"/>
  <c r="E35" i="3"/>
  <c r="F38" i="3" l="1"/>
  <c r="F35" i="3"/>
  <c r="F37" i="3"/>
  <c r="F34" i="3"/>
  <c r="G34" i="3" s="1"/>
  <c r="T6" i="3"/>
  <c r="T7" i="3"/>
  <c r="T3" i="3"/>
  <c r="D39" i="3"/>
  <c r="C39" i="3"/>
  <c r="B39" i="3"/>
  <c r="T4" i="3"/>
  <c r="T5" i="3"/>
  <c r="E39" i="3"/>
  <c r="A40" i="3"/>
  <c r="G35" i="3" l="1"/>
  <c r="G36" i="3" s="1"/>
  <c r="G37" i="3" s="1"/>
  <c r="G38" i="3" s="1"/>
  <c r="F39" i="3"/>
  <c r="G39" i="3" s="1"/>
  <c r="D40" i="3"/>
  <c r="C40" i="3"/>
  <c r="B40" i="3"/>
  <c r="E40" i="3"/>
  <c r="A41" i="3"/>
  <c r="F40" i="3" l="1"/>
  <c r="G40" i="3" s="1"/>
  <c r="D41" i="3"/>
  <c r="C41" i="3"/>
  <c r="B41" i="3"/>
  <c r="E41" i="3"/>
  <c r="A42" i="3"/>
  <c r="F41" i="3" l="1"/>
  <c r="G41" i="3" s="1"/>
  <c r="D42" i="3"/>
  <c r="C42" i="3"/>
  <c r="B42" i="3"/>
  <c r="E42" i="3"/>
  <c r="A43" i="3"/>
  <c r="F42" i="3" l="1"/>
  <c r="G42" i="3" s="1"/>
  <c r="D43" i="3"/>
  <c r="C43" i="3"/>
  <c r="B43" i="3"/>
  <c r="E43" i="3"/>
  <c r="A44" i="3"/>
  <c r="F43" i="3" l="1"/>
  <c r="G43" i="3" s="1"/>
  <c r="D44" i="3"/>
  <c r="C44" i="3"/>
  <c r="B44" i="3"/>
  <c r="E44" i="3"/>
  <c r="A45" i="3"/>
  <c r="F44" i="3" l="1"/>
  <c r="G44" i="3" s="1"/>
  <c r="D45" i="3"/>
  <c r="C45" i="3"/>
  <c r="B45" i="3"/>
  <c r="A46" i="3"/>
  <c r="E45" i="3"/>
  <c r="F45" i="3" l="1"/>
  <c r="G45" i="3" s="1"/>
  <c r="D46" i="3"/>
  <c r="C46" i="3"/>
  <c r="B46" i="3"/>
  <c r="E46" i="3"/>
  <c r="A47" i="3"/>
  <c r="F46" i="3" l="1"/>
  <c r="G46" i="3" s="1"/>
  <c r="D47" i="3"/>
  <c r="C47" i="3"/>
  <c r="B47" i="3"/>
  <c r="A48" i="3"/>
  <c r="E47" i="3"/>
  <c r="F47" i="3" l="1"/>
  <c r="G47" i="3" s="1"/>
  <c r="D48" i="3"/>
  <c r="C48" i="3"/>
  <c r="B48" i="3"/>
  <c r="A49" i="3"/>
  <c r="E48" i="3"/>
  <c r="F48" i="3" l="1"/>
  <c r="G48" i="3" s="1"/>
  <c r="D49" i="3"/>
  <c r="C49" i="3"/>
  <c r="B49" i="3"/>
  <c r="E49" i="3"/>
  <c r="A50" i="3"/>
  <c r="F49" i="3" l="1"/>
  <c r="G49" i="3" s="1"/>
  <c r="D50" i="3"/>
  <c r="C50" i="3"/>
  <c r="B50" i="3"/>
  <c r="A51" i="3"/>
  <c r="E50" i="3"/>
  <c r="F50" i="3" l="1"/>
  <c r="G50" i="3" s="1"/>
  <c r="D51" i="3"/>
  <c r="C51" i="3"/>
  <c r="B51" i="3"/>
  <c r="E51" i="3"/>
  <c r="A52" i="3"/>
  <c r="F51" i="3" l="1"/>
  <c r="G51" i="3" s="1"/>
  <c r="D52" i="3"/>
  <c r="C52" i="3"/>
  <c r="B52" i="3"/>
  <c r="E52" i="3"/>
  <c r="A53" i="3"/>
  <c r="F52" i="3" l="1"/>
  <c r="G52" i="3" s="1"/>
  <c r="D53" i="3"/>
  <c r="C53" i="3"/>
  <c r="B53" i="3"/>
  <c r="A54" i="3"/>
  <c r="E53" i="3"/>
  <c r="F53" i="3" l="1"/>
  <c r="G53" i="3" s="1"/>
  <c r="D54" i="3"/>
  <c r="C54" i="3"/>
  <c r="B54" i="3"/>
  <c r="A55" i="3"/>
  <c r="E54" i="3"/>
  <c r="F54" i="3" l="1"/>
  <c r="G54" i="3" s="1"/>
  <c r="D55" i="3"/>
  <c r="C55" i="3"/>
  <c r="B55" i="3"/>
  <c r="A56" i="3"/>
  <c r="E55" i="3"/>
  <c r="F55" i="3" l="1"/>
  <c r="G55" i="3" s="1"/>
  <c r="D56" i="3"/>
  <c r="C56" i="3"/>
  <c r="B56" i="3"/>
  <c r="E56" i="3"/>
  <c r="A57" i="3"/>
  <c r="F56" i="3" l="1"/>
  <c r="G56" i="3" s="1"/>
  <c r="D57" i="3"/>
  <c r="C57" i="3"/>
  <c r="B57" i="3"/>
  <c r="A58" i="3"/>
  <c r="E57" i="3"/>
  <c r="F57" i="3" l="1"/>
  <c r="G57" i="3" s="1"/>
  <c r="D58" i="3"/>
  <c r="C58" i="3"/>
  <c r="B58" i="3"/>
  <c r="E58" i="3"/>
  <c r="A59" i="3"/>
  <c r="F58" i="3" l="1"/>
  <c r="G58" i="3" s="1"/>
  <c r="D59" i="3"/>
  <c r="C59" i="3"/>
  <c r="B59" i="3"/>
  <c r="E59" i="3"/>
  <c r="A60" i="3"/>
  <c r="F59" i="3" l="1"/>
  <c r="G59" i="3" s="1"/>
  <c r="C60" i="3"/>
  <c r="D60" i="3"/>
  <c r="B60" i="3"/>
  <c r="A61" i="3"/>
  <c r="E60" i="3"/>
  <c r="F60" i="3" l="1"/>
  <c r="G60" i="3" s="1"/>
  <c r="D61" i="3"/>
  <c r="C61" i="3"/>
  <c r="B61" i="3"/>
  <c r="A62" i="3"/>
  <c r="E61" i="3"/>
  <c r="F61" i="3" l="1"/>
  <c r="G61" i="3" s="1"/>
  <c r="D62" i="3"/>
  <c r="C62" i="3"/>
  <c r="B62" i="3"/>
  <c r="A63" i="3"/>
  <c r="E62" i="3"/>
  <c r="F62" i="3" l="1"/>
  <c r="G62" i="3" s="1"/>
  <c r="D63" i="3"/>
  <c r="C63" i="3"/>
  <c r="B63" i="3"/>
  <c r="E63" i="3"/>
  <c r="A64" i="3"/>
  <c r="D64" i="3" l="1"/>
  <c r="C64" i="3"/>
  <c r="B64" i="3"/>
  <c r="E64" i="3"/>
  <c r="A65" i="3"/>
  <c r="D65" i="3" l="1"/>
  <c r="C65" i="3"/>
  <c r="B65" i="3"/>
  <c r="E65" i="3"/>
  <c r="A66" i="3"/>
  <c r="D66" i="3" l="1"/>
  <c r="C66" i="3"/>
  <c r="B66" i="3"/>
  <c r="E66" i="3"/>
  <c r="A67" i="3"/>
  <c r="D67" i="3" l="1"/>
  <c r="C67" i="3"/>
  <c r="B67" i="3"/>
  <c r="A68" i="3"/>
  <c r="E67" i="3"/>
  <c r="D68" i="3" l="1"/>
  <c r="C68" i="3"/>
  <c r="B68" i="3"/>
  <c r="A69" i="3"/>
  <c r="E68" i="3"/>
  <c r="D69" i="3" l="1"/>
  <c r="C69" i="3"/>
  <c r="B69" i="3"/>
  <c r="A70" i="3"/>
  <c r="E69" i="3"/>
  <c r="D70" i="3" l="1"/>
  <c r="C70" i="3"/>
  <c r="B70" i="3"/>
  <c r="A71" i="3"/>
  <c r="E70" i="3"/>
  <c r="D71" i="3" l="1"/>
  <c r="C71" i="3"/>
  <c r="B71" i="3"/>
  <c r="A72" i="3"/>
  <c r="E71" i="3"/>
  <c r="D72" i="3" l="1"/>
  <c r="C72" i="3"/>
  <c r="B72" i="3"/>
  <c r="E72" i="3"/>
  <c r="A73" i="3"/>
  <c r="D73" i="3" l="1"/>
  <c r="C73" i="3"/>
  <c r="B73" i="3"/>
  <c r="A74" i="3"/>
  <c r="E73" i="3"/>
  <c r="D74" i="3" l="1"/>
  <c r="C74" i="3"/>
  <c r="B74" i="3"/>
  <c r="E74" i="3"/>
  <c r="A75" i="3"/>
  <c r="D75" i="3" l="1"/>
  <c r="C75" i="3"/>
  <c r="B75" i="3"/>
  <c r="E75" i="3"/>
  <c r="A76" i="3"/>
  <c r="D76" i="3" l="1"/>
  <c r="C76" i="3"/>
  <c r="B76" i="3"/>
  <c r="E76" i="3"/>
  <c r="A77" i="3"/>
  <c r="D77" i="3" l="1"/>
  <c r="C77" i="3"/>
  <c r="B77" i="3"/>
  <c r="A78" i="3"/>
  <c r="E77" i="3"/>
  <c r="D78" i="3" l="1"/>
  <c r="C78" i="3"/>
  <c r="B78" i="3"/>
  <c r="E78" i="3"/>
  <c r="A79" i="3"/>
  <c r="D79" i="3" l="1"/>
  <c r="C79" i="3"/>
  <c r="B79" i="3"/>
  <c r="E79" i="3"/>
  <c r="A80" i="3"/>
  <c r="D80" i="3" l="1"/>
  <c r="C80" i="3"/>
  <c r="B80" i="3"/>
  <c r="E80" i="3"/>
  <c r="A81" i="3"/>
  <c r="D81" i="3" l="1"/>
  <c r="C81" i="3"/>
  <c r="B81" i="3"/>
  <c r="E81" i="3"/>
  <c r="A82" i="3"/>
  <c r="D82" i="3" l="1"/>
  <c r="C82" i="3"/>
  <c r="B82" i="3"/>
  <c r="E82" i="3"/>
  <c r="A83" i="3"/>
  <c r="D83" i="3" l="1"/>
  <c r="C83" i="3"/>
  <c r="B83" i="3"/>
  <c r="A84" i="3"/>
  <c r="E83" i="3"/>
  <c r="C84" i="3" l="1"/>
  <c r="D84" i="3"/>
  <c r="B84" i="3"/>
  <c r="A85" i="3"/>
  <c r="E84" i="3"/>
  <c r="D85" i="3" l="1"/>
  <c r="C85" i="3"/>
  <c r="B85" i="3"/>
  <c r="E85" i="3"/>
  <c r="A86" i="3"/>
  <c r="D86" i="3" l="1"/>
  <c r="C86" i="3"/>
  <c r="B86" i="3"/>
  <c r="A87" i="3"/>
  <c r="E86" i="3"/>
  <c r="D87" i="3" l="1"/>
  <c r="C87" i="3"/>
  <c r="B87" i="3"/>
  <c r="E87" i="3"/>
  <c r="A88" i="3"/>
  <c r="D88" i="3" l="1"/>
  <c r="C88" i="3"/>
  <c r="B88" i="3"/>
  <c r="E88" i="3"/>
  <c r="A89" i="3"/>
  <c r="D89" i="3" l="1"/>
  <c r="C89" i="3"/>
  <c r="B89" i="3"/>
  <c r="E89" i="3"/>
  <c r="A90" i="3"/>
  <c r="D90" i="3" l="1"/>
  <c r="C90" i="3"/>
  <c r="B90" i="3"/>
  <c r="E90" i="3"/>
  <c r="A91" i="3"/>
  <c r="C91" i="3" l="1"/>
  <c r="D91" i="3"/>
  <c r="B91" i="3"/>
  <c r="E91" i="3"/>
  <c r="A92" i="3"/>
  <c r="C92" i="3" l="1"/>
  <c r="D92" i="3"/>
  <c r="B92" i="3"/>
  <c r="A93" i="3"/>
  <c r="E92" i="3"/>
  <c r="D93" i="3" l="1"/>
  <c r="C93" i="3"/>
  <c r="B93" i="3"/>
  <c r="E93" i="3"/>
  <c r="A94" i="3"/>
  <c r="D94" i="3" l="1"/>
  <c r="C94" i="3"/>
  <c r="B94" i="3"/>
  <c r="A95" i="3"/>
  <c r="E94" i="3"/>
  <c r="D95" i="3" l="1"/>
  <c r="C95" i="3"/>
  <c r="B95" i="3"/>
  <c r="A96" i="3"/>
  <c r="E95" i="3"/>
  <c r="D96" i="3" l="1"/>
  <c r="C96" i="3"/>
  <c r="B96" i="3"/>
  <c r="A97" i="3"/>
  <c r="E96" i="3"/>
  <c r="D97" i="3" l="1"/>
  <c r="C97" i="3"/>
  <c r="B97" i="3"/>
  <c r="E97" i="3"/>
  <c r="A98" i="3"/>
  <c r="D98" i="3" l="1"/>
  <c r="C98" i="3"/>
  <c r="B98" i="3"/>
  <c r="E98" i="3"/>
  <c r="A99" i="3"/>
  <c r="D99" i="3" l="1"/>
  <c r="C99" i="3"/>
  <c r="B99" i="3"/>
  <c r="A100" i="3"/>
  <c r="E99" i="3"/>
  <c r="C100" i="3" l="1"/>
  <c r="D100" i="3"/>
  <c r="B100" i="3"/>
  <c r="E100" i="3"/>
  <c r="A101" i="3"/>
  <c r="D101" i="3" l="1"/>
  <c r="C101" i="3"/>
  <c r="B101" i="3"/>
  <c r="A102" i="3"/>
  <c r="E101" i="3"/>
  <c r="D102" i="3" l="1"/>
  <c r="C102" i="3"/>
  <c r="B102" i="3"/>
  <c r="E102" i="3"/>
  <c r="A103" i="3"/>
  <c r="D103" i="3" l="1"/>
  <c r="C103" i="3"/>
  <c r="B103" i="3"/>
  <c r="E103" i="3"/>
  <c r="A104" i="3"/>
  <c r="D104" i="3" l="1"/>
  <c r="C104" i="3"/>
  <c r="B104" i="3"/>
  <c r="A105" i="3"/>
  <c r="E104" i="3"/>
  <c r="D105" i="3" l="1"/>
  <c r="C105" i="3"/>
  <c r="B105" i="3"/>
  <c r="E105" i="3"/>
  <c r="A106" i="3"/>
  <c r="D106" i="3" l="1"/>
  <c r="C106" i="3"/>
  <c r="B106" i="3"/>
  <c r="E106" i="3"/>
  <c r="A107" i="3"/>
  <c r="D107" i="3" l="1"/>
  <c r="C107" i="3"/>
  <c r="B107" i="3"/>
  <c r="E107" i="3"/>
  <c r="A108" i="3"/>
  <c r="D108" i="3" l="1"/>
  <c r="C108" i="3"/>
  <c r="B108" i="3"/>
  <c r="A109" i="3"/>
  <c r="E108" i="3"/>
  <c r="D109" i="3" l="1"/>
  <c r="C109" i="3"/>
  <c r="B109" i="3"/>
  <c r="E109" i="3"/>
  <c r="A110" i="3"/>
  <c r="D110" i="3" l="1"/>
  <c r="C110" i="3"/>
  <c r="B110" i="3"/>
  <c r="A111" i="3"/>
  <c r="E110" i="3"/>
  <c r="D111" i="3" l="1"/>
  <c r="C111" i="3"/>
  <c r="B111" i="3"/>
  <c r="A112" i="3"/>
  <c r="E111" i="3"/>
  <c r="D112" i="3" l="1"/>
  <c r="C112" i="3"/>
  <c r="B112" i="3"/>
  <c r="A113" i="3"/>
  <c r="E112" i="3"/>
  <c r="D113" i="3" l="1"/>
  <c r="C113" i="3"/>
  <c r="B113" i="3"/>
  <c r="E113" i="3"/>
  <c r="A114" i="3"/>
  <c r="D114" i="3" l="1"/>
  <c r="C114" i="3"/>
  <c r="B114" i="3"/>
  <c r="E114" i="3"/>
  <c r="A115" i="3"/>
  <c r="D115" i="3" l="1"/>
  <c r="C115" i="3"/>
  <c r="B115" i="3"/>
  <c r="E115" i="3"/>
  <c r="A116" i="3"/>
  <c r="D116" i="3" l="1"/>
  <c r="C116" i="3"/>
  <c r="B116" i="3"/>
  <c r="A117" i="3"/>
  <c r="E116" i="3"/>
  <c r="C117" i="3" l="1"/>
  <c r="D117" i="3"/>
  <c r="B117" i="3"/>
  <c r="E117" i="3"/>
  <c r="A118" i="3"/>
  <c r="D118" i="3" l="1"/>
  <c r="C118" i="3"/>
  <c r="B118" i="3"/>
  <c r="E118" i="3"/>
  <c r="A119" i="3"/>
  <c r="D119" i="3" l="1"/>
  <c r="C119" i="3"/>
  <c r="B119" i="3"/>
  <c r="E119" i="3"/>
  <c r="A120" i="3"/>
  <c r="D120" i="3" l="1"/>
  <c r="C120" i="3"/>
  <c r="B120" i="3"/>
  <c r="E120" i="3"/>
  <c r="A121" i="3"/>
  <c r="D121" i="3" l="1"/>
  <c r="C121" i="3"/>
  <c r="B121" i="3"/>
  <c r="E121" i="3"/>
  <c r="A122" i="3"/>
  <c r="D122" i="3" l="1"/>
  <c r="C122" i="3"/>
  <c r="B122" i="3"/>
  <c r="E122" i="3"/>
  <c r="A123" i="3"/>
  <c r="C123" i="3" l="1"/>
  <c r="D123" i="3"/>
  <c r="B123" i="3"/>
  <c r="A124" i="3"/>
  <c r="E123" i="3"/>
  <c r="C124" i="3" l="1"/>
  <c r="D124" i="3"/>
  <c r="B124" i="3"/>
  <c r="E124" i="3"/>
  <c r="A125" i="3"/>
  <c r="D125" i="3" l="1"/>
  <c r="C125" i="3"/>
  <c r="B125" i="3"/>
  <c r="E125" i="3"/>
  <c r="A126" i="3"/>
  <c r="D126" i="3" l="1"/>
  <c r="C126" i="3"/>
  <c r="B126" i="3"/>
  <c r="E126" i="3"/>
  <c r="A127" i="3"/>
  <c r="D127" i="3" l="1"/>
  <c r="C127" i="3"/>
  <c r="B127" i="3"/>
  <c r="A128" i="3"/>
  <c r="E127" i="3"/>
  <c r="D128" i="3" l="1"/>
  <c r="C128" i="3"/>
  <c r="B128" i="3"/>
  <c r="A129" i="3"/>
  <c r="E128" i="3"/>
  <c r="D129" i="3" l="1"/>
  <c r="C129" i="3"/>
  <c r="B129" i="3"/>
  <c r="A130" i="3"/>
  <c r="E129" i="3"/>
  <c r="D130" i="3" l="1"/>
  <c r="C130" i="3"/>
  <c r="B130" i="3"/>
  <c r="E130" i="3"/>
  <c r="A131" i="3"/>
  <c r="D131" i="3" l="1"/>
  <c r="C131" i="3"/>
  <c r="B131" i="3"/>
  <c r="A132" i="3"/>
  <c r="E131" i="3"/>
  <c r="D132" i="3" l="1"/>
  <c r="C132" i="3"/>
  <c r="B132" i="3"/>
  <c r="E132" i="3"/>
  <c r="A133" i="3"/>
  <c r="C133" i="3" l="1"/>
  <c r="D133" i="3"/>
  <c r="B133" i="3"/>
  <c r="E133" i="3"/>
  <c r="A134" i="3"/>
  <c r="D134" i="3" l="1"/>
  <c r="C134" i="3"/>
  <c r="B134" i="3"/>
  <c r="A135" i="3"/>
  <c r="E134" i="3"/>
  <c r="D135" i="3" l="1"/>
  <c r="C135" i="3"/>
  <c r="B135" i="3"/>
  <c r="A136" i="3"/>
  <c r="E135" i="3"/>
  <c r="D136" i="3" l="1"/>
  <c r="C136" i="3"/>
  <c r="B136" i="3"/>
  <c r="E136" i="3"/>
  <c r="A137" i="3"/>
  <c r="D137" i="3" l="1"/>
  <c r="C137" i="3"/>
  <c r="B137" i="3"/>
  <c r="A138" i="3"/>
  <c r="E137" i="3"/>
  <c r="D138" i="3" l="1"/>
  <c r="C138" i="3"/>
  <c r="B138" i="3"/>
  <c r="E138" i="3"/>
  <c r="A139" i="3"/>
  <c r="C139" i="3" l="1"/>
  <c r="D139" i="3"/>
  <c r="B139" i="3"/>
  <c r="E139" i="3"/>
  <c r="A140" i="3"/>
  <c r="C140" i="3" l="1"/>
  <c r="D140" i="3"/>
  <c r="B140" i="3"/>
  <c r="E140" i="3"/>
  <c r="A141" i="3"/>
  <c r="D141" i="3" l="1"/>
  <c r="C141" i="3"/>
  <c r="B141" i="3"/>
  <c r="A142" i="3"/>
  <c r="E141" i="3"/>
  <c r="D142" i="3" l="1"/>
  <c r="C142" i="3"/>
  <c r="B142" i="3"/>
  <c r="E142" i="3"/>
  <c r="A143" i="3"/>
  <c r="D143" i="3" l="1"/>
  <c r="C143" i="3"/>
  <c r="B143" i="3"/>
  <c r="A144" i="3"/>
  <c r="E143" i="3"/>
  <c r="D144" i="3" l="1"/>
  <c r="C144" i="3"/>
  <c r="B144" i="3"/>
  <c r="E144" i="3"/>
  <c r="A145" i="3"/>
  <c r="D145" i="3" l="1"/>
  <c r="C145" i="3"/>
  <c r="B145" i="3"/>
  <c r="A146" i="3"/>
  <c r="E145" i="3"/>
  <c r="D146" i="3" l="1"/>
  <c r="C146" i="3"/>
  <c r="B146" i="3"/>
  <c r="A147" i="3"/>
  <c r="E146" i="3"/>
  <c r="D147" i="3" l="1"/>
  <c r="C147" i="3"/>
  <c r="B147" i="3"/>
  <c r="A148" i="3"/>
  <c r="E147" i="3"/>
  <c r="D148" i="3" l="1"/>
  <c r="C148" i="3"/>
  <c r="B148" i="3"/>
  <c r="E148" i="3"/>
  <c r="A149" i="3"/>
  <c r="C149" i="3" l="1"/>
  <c r="D149" i="3"/>
  <c r="B149" i="3"/>
  <c r="A150" i="3"/>
  <c r="E149" i="3"/>
  <c r="D150" i="3" l="1"/>
  <c r="C150" i="3"/>
  <c r="B150" i="3"/>
  <c r="A151" i="3"/>
  <c r="E150" i="3"/>
  <c r="D151" i="3" l="1"/>
  <c r="C151" i="3"/>
  <c r="B151" i="3"/>
  <c r="A152" i="3"/>
  <c r="E151" i="3"/>
  <c r="D152" i="3" l="1"/>
  <c r="C152" i="3"/>
  <c r="B152" i="3"/>
  <c r="E152" i="3"/>
  <c r="A153" i="3"/>
  <c r="D153" i="3" l="1"/>
  <c r="C153" i="3"/>
  <c r="B153" i="3"/>
  <c r="E153" i="3"/>
  <c r="A154" i="3"/>
  <c r="D154" i="3" l="1"/>
  <c r="C154" i="3"/>
  <c r="B154" i="3"/>
  <c r="E154" i="3"/>
  <c r="A155" i="3"/>
  <c r="D155" i="3" l="1"/>
  <c r="C155" i="3"/>
  <c r="B155" i="3"/>
  <c r="E155" i="3"/>
  <c r="A156" i="3"/>
  <c r="D156" i="3" l="1"/>
  <c r="C156" i="3"/>
  <c r="B156" i="3"/>
  <c r="E156" i="3"/>
  <c r="A157" i="3"/>
  <c r="D157" i="3" l="1"/>
  <c r="C157" i="3"/>
  <c r="B157" i="3"/>
  <c r="A158" i="3"/>
  <c r="E157" i="3"/>
  <c r="D158" i="3" l="1"/>
  <c r="C158" i="3"/>
  <c r="B158" i="3"/>
  <c r="A159" i="3"/>
  <c r="E158" i="3"/>
  <c r="D159" i="3" l="1"/>
  <c r="C159" i="3"/>
  <c r="B159" i="3"/>
  <c r="A160" i="3"/>
  <c r="E159" i="3"/>
  <c r="D160" i="3" l="1"/>
  <c r="C160" i="3"/>
  <c r="B160" i="3"/>
  <c r="E160" i="3"/>
  <c r="A161" i="3"/>
  <c r="D161" i="3" l="1"/>
  <c r="C161" i="3"/>
  <c r="B161" i="3"/>
  <c r="A162" i="3"/>
  <c r="E161" i="3"/>
  <c r="D162" i="3" l="1"/>
  <c r="C162" i="3"/>
  <c r="B162" i="3"/>
  <c r="E162" i="3"/>
  <c r="A163" i="3"/>
  <c r="D163" i="3" l="1"/>
  <c r="C163" i="3"/>
  <c r="B163" i="3"/>
  <c r="A164" i="3"/>
  <c r="E163" i="3"/>
  <c r="D164" i="3" l="1"/>
  <c r="C164" i="3"/>
  <c r="B164" i="3"/>
  <c r="E164" i="3"/>
  <c r="A165" i="3"/>
  <c r="C165" i="3" l="1"/>
  <c r="D165" i="3"/>
  <c r="B165" i="3"/>
  <c r="A166" i="3"/>
  <c r="E165" i="3"/>
  <c r="D166" i="3" l="1"/>
  <c r="C166" i="3"/>
  <c r="B166" i="3"/>
  <c r="A167" i="3"/>
  <c r="E166" i="3"/>
  <c r="D167" i="3" l="1"/>
  <c r="C167" i="3"/>
  <c r="B167" i="3"/>
  <c r="E167" i="3"/>
  <c r="A168" i="3"/>
  <c r="D168" i="3" l="1"/>
  <c r="C168" i="3"/>
  <c r="B168" i="3"/>
  <c r="A169" i="3"/>
  <c r="E168" i="3"/>
  <c r="D169" i="3" l="1"/>
  <c r="C169" i="3"/>
  <c r="B169" i="3"/>
  <c r="A170" i="3"/>
  <c r="E169" i="3"/>
  <c r="D170" i="3" l="1"/>
  <c r="C170" i="3"/>
  <c r="B170" i="3"/>
  <c r="K4" i="3"/>
  <c r="E170" i="3"/>
  <c r="I4" i="3"/>
  <c r="K11" i="3" l="1"/>
  <c r="K10" i="3"/>
  <c r="K14" i="3"/>
  <c r="K9" i="3"/>
  <c r="K13" i="3"/>
  <c r="K8" i="3"/>
  <c r="K12" i="3"/>
  <c r="K5" i="3"/>
  <c r="K3" i="3"/>
  <c r="K6" i="3"/>
  <c r="K7" i="3"/>
  <c r="J3" i="3"/>
  <c r="J4" i="3"/>
  <c r="I3" i="3"/>
  <c r="J12" i="3"/>
  <c r="I14" i="3"/>
  <c r="J8" i="3"/>
  <c r="I11" i="3"/>
  <c r="J6" i="3"/>
  <c r="J13" i="3"/>
  <c r="I12" i="3"/>
  <c r="I9" i="3"/>
  <c r="J5" i="3"/>
  <c r="I13" i="3"/>
  <c r="J9" i="3"/>
  <c r="I5" i="3"/>
  <c r="I8" i="3"/>
  <c r="J10" i="3"/>
  <c r="J7" i="3"/>
  <c r="J11" i="3"/>
  <c r="I10" i="3"/>
  <c r="I6" i="3"/>
  <c r="J14" i="3"/>
  <c r="I7" i="3"/>
  <c r="K15" i="3" l="1"/>
  <c r="J15" i="3"/>
  <c r="I15" i="3"/>
  <c r="L10" i="3"/>
  <c r="L4" i="3"/>
  <c r="L7" i="3"/>
  <c r="L13" i="3"/>
  <c r="L11" i="3"/>
  <c r="L8" i="3"/>
  <c r="L6" i="3"/>
  <c r="L14" i="3"/>
  <c r="L12" i="3"/>
  <c r="L5" i="3"/>
  <c r="L3" i="3"/>
  <c r="N21" i="3" s="1"/>
  <c r="L9" i="3"/>
  <c r="L15" i="3" l="1"/>
  <c r="L17" i="3"/>
</calcChain>
</file>

<file path=xl/sharedStrings.xml><?xml version="1.0" encoding="utf-8"?>
<sst xmlns="http://schemas.openxmlformats.org/spreadsheetml/2006/main" count="806" uniqueCount="65">
  <si>
    <t>Transaction Date</t>
  </si>
  <si>
    <t>Posted Date</t>
  </si>
  <si>
    <t>Card No.</t>
  </si>
  <si>
    <t>Description</t>
  </si>
  <si>
    <t>Category</t>
  </si>
  <si>
    <t>Debit</t>
  </si>
  <si>
    <t>Credit</t>
  </si>
  <si>
    <t>Gas/Automotive</t>
  </si>
  <si>
    <t>Merchandise</t>
  </si>
  <si>
    <t>Phone/Cable</t>
  </si>
  <si>
    <t>Entertainment</t>
  </si>
  <si>
    <t>Expense 6</t>
  </si>
  <si>
    <t>Dining</t>
  </si>
  <si>
    <t>Expense 7</t>
  </si>
  <si>
    <t>Expense 8</t>
  </si>
  <si>
    <t>Expense 9</t>
  </si>
  <si>
    <t>Professional Services</t>
  </si>
  <si>
    <t>Expense 10</t>
  </si>
  <si>
    <t>Lodging</t>
  </si>
  <si>
    <t>Expense 11</t>
  </si>
  <si>
    <t>Expense 12</t>
  </si>
  <si>
    <t>Expense 13</t>
  </si>
  <si>
    <t>Payment/Credit</t>
  </si>
  <si>
    <t>Expense 14</t>
  </si>
  <si>
    <t>Expense 15</t>
  </si>
  <si>
    <t>Expense 16</t>
  </si>
  <si>
    <t>Expense 17</t>
  </si>
  <si>
    <t>Expense 18</t>
  </si>
  <si>
    <t>Expense 19</t>
  </si>
  <si>
    <t>Expense 20</t>
  </si>
  <si>
    <t>Expense 21</t>
  </si>
  <si>
    <t>Expense 22</t>
  </si>
  <si>
    <t>Expense 23</t>
  </si>
  <si>
    <t>Expense 24</t>
  </si>
  <si>
    <t>Expense 25</t>
  </si>
  <si>
    <t>Expense 26</t>
  </si>
  <si>
    <t>Expense 27</t>
  </si>
  <si>
    <t>Other Travel</t>
  </si>
  <si>
    <t>Expense 28</t>
  </si>
  <si>
    <t>Expense 29</t>
  </si>
  <si>
    <t>Expense 30</t>
  </si>
  <si>
    <t>Airfare</t>
  </si>
  <si>
    <t>Expense 31</t>
  </si>
  <si>
    <t>Dates</t>
  </si>
  <si>
    <t>Test Account 1</t>
  </si>
  <si>
    <t>Test Account 2</t>
  </si>
  <si>
    <t>Amt1</t>
  </si>
  <si>
    <t>Month</t>
  </si>
  <si>
    <t>Totals</t>
  </si>
  <si>
    <t>Items</t>
  </si>
  <si>
    <t>DateOverride</t>
  </si>
  <si>
    <t>Date</t>
  </si>
  <si>
    <t>CalcDate</t>
  </si>
  <si>
    <t>Apples 1</t>
  </si>
  <si>
    <t>Oranges 2</t>
  </si>
  <si>
    <t>Grapes 3</t>
  </si>
  <si>
    <t>Berry 4</t>
  </si>
  <si>
    <t>Watermelon 5</t>
  </si>
  <si>
    <t>Tags</t>
  </si>
  <si>
    <t>Amounts Combined</t>
  </si>
  <si>
    <t>Test Account 3</t>
  </si>
  <si>
    <t xml:space="preserve">Amt1 - </t>
  </si>
  <si>
    <t>Amt1 -</t>
  </si>
  <si>
    <t xml:space="preserve">Amt1  + </t>
  </si>
  <si>
    <t>OMIT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</si>
</sst>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1" applyFont="1" applyBorder="1"/>
    <xf numFmtId="44" fontId="0" fillId="0" borderId="0" xfId="0" applyNumberFormat="1"/>
    <xf numFmtId="44" fontId="0" fillId="0" borderId="1" xfId="0" applyNumberFormat="1" applyBorder="1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Calculations!$H$34:$H$62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Calculations!$G$34:$G$62</c:f>
              <c:numCache>
                <c:formatCode>_("$"* #,##0.00_);_("$"* \(#,##0.00\);_("$"* "-"??_);_(@_)</c:formatCode>
                <c:ptCount val="29"/>
                <c:pt idx="0">
                  <c:v>-222</c:v>
                </c:pt>
                <c:pt idx="1">
                  <c:v>-888</c:v>
                </c:pt>
                <c:pt idx="2">
                  <c:v>-1110</c:v>
                </c:pt>
                <c:pt idx="3">
                  <c:v>-1754</c:v>
                </c:pt>
                <c:pt idx="4">
                  <c:v>-1399</c:v>
                </c:pt>
                <c:pt idx="5">
                  <c:v>-1699</c:v>
                </c:pt>
                <c:pt idx="6">
                  <c:v>-1799</c:v>
                </c:pt>
                <c:pt idx="7">
                  <c:v>-2099</c:v>
                </c:pt>
                <c:pt idx="8">
                  <c:v>-2199</c:v>
                </c:pt>
                <c:pt idx="9">
                  <c:v>-2499</c:v>
                </c:pt>
                <c:pt idx="10">
                  <c:v>-2199</c:v>
                </c:pt>
                <c:pt idx="11">
                  <c:v>-2499</c:v>
                </c:pt>
                <c:pt idx="12">
                  <c:v>948</c:v>
                </c:pt>
                <c:pt idx="13">
                  <c:v>648</c:v>
                </c:pt>
                <c:pt idx="14">
                  <c:v>748</c:v>
                </c:pt>
                <c:pt idx="15">
                  <c:v>448</c:v>
                </c:pt>
                <c:pt idx="16">
                  <c:v>248</c:v>
                </c:pt>
                <c:pt idx="17">
                  <c:v>-52</c:v>
                </c:pt>
                <c:pt idx="18">
                  <c:v>-152</c:v>
                </c:pt>
                <c:pt idx="19">
                  <c:v>-452</c:v>
                </c:pt>
                <c:pt idx="20">
                  <c:v>-552</c:v>
                </c:pt>
                <c:pt idx="21">
                  <c:v>-852</c:v>
                </c:pt>
                <c:pt idx="22">
                  <c:v>-952</c:v>
                </c:pt>
                <c:pt idx="23">
                  <c:v>-1252</c:v>
                </c:pt>
                <c:pt idx="24">
                  <c:v>-1352</c:v>
                </c:pt>
                <c:pt idx="25">
                  <c:v>-1652</c:v>
                </c:pt>
                <c:pt idx="26">
                  <c:v>-1752</c:v>
                </c:pt>
                <c:pt idx="27">
                  <c:v>-2052</c:v>
                </c:pt>
                <c:pt idx="28">
                  <c:v>-2818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B4-4AE8-AC06-2BBBDDDE7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7739632"/>
        <c:axId val="1287746352"/>
      </c:scatterChart>
      <c:valAx>
        <c:axId val="1287739632"/>
        <c:scaling>
          <c:orientation val="minMax"/>
          <c:max val="29"/>
          <c:min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46352"/>
        <c:crosses val="autoZero"/>
        <c:crossBetween val="midCat"/>
        <c:majorUnit val="1"/>
      </c:valAx>
      <c:valAx>
        <c:axId val="12877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3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35</xdr:row>
      <xdr:rowOff>49530</xdr:rowOff>
    </xdr:from>
    <xdr:to>
      <xdr:col>17</xdr:col>
      <xdr:colOff>259080</xdr:colOff>
      <xdr:row>50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C5372B-5B63-D1B2-3483-0B8B78ED4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25"/>
  <sheetViews>
    <sheetView workbookViewId="0">
      <selection activeCell="G137" sqref="G137"/>
    </sheetView>
  </sheetViews>
  <sheetFormatPr defaultRowHeight="14.4" x14ac:dyDescent="0.3"/>
  <cols>
    <col min="1" max="1" width="15" style="1" bestFit="1" customWidth="1"/>
    <col min="2" max="2" width="10.88671875" style="1" bestFit="1" customWidth="1"/>
    <col min="3" max="3" width="8.21875" bestFit="1" customWidth="1"/>
    <col min="4" max="4" width="10.21875" bestFit="1" customWidth="1"/>
    <col min="5" max="5" width="18.21875" bestFit="1" customWidth="1"/>
    <col min="6" max="6" width="5.33203125" bestFit="1" customWidth="1"/>
    <col min="7" max="7" width="5.88671875" bestFit="1" customWidth="1"/>
    <col min="8" max="8" width="7.77734375" bestFit="1" customWidth="1"/>
    <col min="9" max="9" width="11.88671875" bestFit="1" customWidth="1"/>
    <col min="10" max="11" width="9.5546875" bestFit="1" customWidth="1"/>
    <col min="12" max="12" width="17" bestFit="1" customWidth="1"/>
  </cols>
  <sheetData>
    <row r="1" spans="1:12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64</v>
      </c>
      <c r="I1" s="9" t="s">
        <v>50</v>
      </c>
      <c r="J1" s="9" t="s">
        <v>51</v>
      </c>
      <c r="K1" s="9" t="s">
        <v>52</v>
      </c>
      <c r="L1" s="9" t="s">
        <v>59</v>
      </c>
    </row>
    <row r="2" spans="1:12" x14ac:dyDescent="0.3">
      <c r="A2" s="1">
        <v>45292</v>
      </c>
      <c r="B2" s="1">
        <v>45292</v>
      </c>
      <c r="C2">
        <v>2188</v>
      </c>
      <c r="D2" t="s">
        <v>53</v>
      </c>
      <c r="E2" t="s">
        <v>7</v>
      </c>
      <c r="F2">
        <v>111</v>
      </c>
      <c r="I2" t="b">
        <v>0</v>
      </c>
      <c r="K2" s="1">
        <f>IF(I2=FALSE, IF(A2&lt;B2,A2,B2), J2)</f>
        <v>45292</v>
      </c>
      <c r="L2">
        <f>IF(H2=FALSE,F2-G2,0)</f>
        <v>111</v>
      </c>
    </row>
    <row r="3" spans="1:12" hidden="1" x14ac:dyDescent="0.3">
      <c r="A3" s="1">
        <v>45293</v>
      </c>
      <c r="B3" s="1">
        <v>45293</v>
      </c>
      <c r="C3">
        <v>2188</v>
      </c>
      <c r="D3" t="s">
        <v>54</v>
      </c>
      <c r="E3" t="s">
        <v>8</v>
      </c>
      <c r="F3">
        <v>222</v>
      </c>
      <c r="I3" t="b">
        <v>0</v>
      </c>
      <c r="K3" s="1">
        <f t="shared" ref="K3:K66" si="0">IF(I3=FALSE, IF(A3&lt;B3,A3,B3), J3)</f>
        <v>45293</v>
      </c>
      <c r="L3">
        <f t="shared" ref="L3:L66" si="1">IF(H3=FALSE,F3-G3,0)</f>
        <v>222</v>
      </c>
    </row>
    <row r="4" spans="1:12" hidden="1" x14ac:dyDescent="0.3">
      <c r="A4" s="1">
        <v>45294</v>
      </c>
      <c r="B4" s="1">
        <v>45294</v>
      </c>
      <c r="C4">
        <v>2188</v>
      </c>
      <c r="D4" t="s">
        <v>55</v>
      </c>
      <c r="E4" t="s">
        <v>9</v>
      </c>
      <c r="F4">
        <v>333</v>
      </c>
      <c r="I4" t="b">
        <v>0</v>
      </c>
      <c r="K4" s="1">
        <f t="shared" si="0"/>
        <v>45294</v>
      </c>
      <c r="L4">
        <f t="shared" si="1"/>
        <v>333</v>
      </c>
    </row>
    <row r="5" spans="1:12" hidden="1" x14ac:dyDescent="0.3">
      <c r="A5" s="1">
        <v>45295</v>
      </c>
      <c r="B5" s="1">
        <v>45295</v>
      </c>
      <c r="C5">
        <v>2188</v>
      </c>
      <c r="D5" t="s">
        <v>56</v>
      </c>
      <c r="E5" t="s">
        <v>8</v>
      </c>
      <c r="F5">
        <v>444</v>
      </c>
      <c r="I5" t="b">
        <v>0</v>
      </c>
      <c r="K5" s="1">
        <f t="shared" si="0"/>
        <v>45295</v>
      </c>
      <c r="L5">
        <f t="shared" si="1"/>
        <v>444</v>
      </c>
    </row>
    <row r="6" spans="1:12" hidden="1" x14ac:dyDescent="0.3">
      <c r="A6" s="1">
        <v>45296</v>
      </c>
      <c r="B6" s="1">
        <v>45296</v>
      </c>
      <c r="C6">
        <v>2188</v>
      </c>
      <c r="D6" t="s">
        <v>57</v>
      </c>
      <c r="E6" t="s">
        <v>10</v>
      </c>
      <c r="F6">
        <v>555</v>
      </c>
      <c r="I6" t="b">
        <v>0</v>
      </c>
      <c r="K6" s="1">
        <f t="shared" si="0"/>
        <v>45296</v>
      </c>
      <c r="L6">
        <f t="shared" si="1"/>
        <v>555</v>
      </c>
    </row>
    <row r="7" spans="1:12" hidden="1" x14ac:dyDescent="0.3">
      <c r="A7" s="1">
        <v>45297</v>
      </c>
      <c r="B7" s="1">
        <v>45297</v>
      </c>
      <c r="C7">
        <v>2188</v>
      </c>
      <c r="D7" t="s">
        <v>11</v>
      </c>
      <c r="E7" t="s">
        <v>12</v>
      </c>
      <c r="F7">
        <v>100</v>
      </c>
      <c r="I7" t="b">
        <v>0</v>
      </c>
      <c r="K7" s="1">
        <f t="shared" si="0"/>
        <v>45297</v>
      </c>
      <c r="L7">
        <f t="shared" si="1"/>
        <v>100</v>
      </c>
    </row>
    <row r="8" spans="1:12" hidden="1" x14ac:dyDescent="0.3">
      <c r="A8" s="1">
        <v>45298</v>
      </c>
      <c r="B8" s="1">
        <v>45298</v>
      </c>
      <c r="C8">
        <v>2188</v>
      </c>
      <c r="D8" t="s">
        <v>13</v>
      </c>
      <c r="E8" t="s">
        <v>8</v>
      </c>
      <c r="F8">
        <v>100</v>
      </c>
      <c r="I8" t="b">
        <v>0</v>
      </c>
      <c r="K8" s="1">
        <f t="shared" si="0"/>
        <v>45298</v>
      </c>
      <c r="L8">
        <f t="shared" si="1"/>
        <v>100</v>
      </c>
    </row>
    <row r="9" spans="1:12" hidden="1" x14ac:dyDescent="0.3">
      <c r="A9" s="1">
        <v>45299</v>
      </c>
      <c r="B9" s="1">
        <v>45299</v>
      </c>
      <c r="C9">
        <v>2188</v>
      </c>
      <c r="D9" t="s">
        <v>14</v>
      </c>
      <c r="E9" t="s">
        <v>12</v>
      </c>
      <c r="F9">
        <v>100</v>
      </c>
      <c r="I9" t="b">
        <v>0</v>
      </c>
      <c r="K9" s="1">
        <f t="shared" si="0"/>
        <v>45299</v>
      </c>
      <c r="L9">
        <f t="shared" si="1"/>
        <v>100</v>
      </c>
    </row>
    <row r="10" spans="1:12" hidden="1" x14ac:dyDescent="0.3">
      <c r="A10" s="1">
        <v>45300</v>
      </c>
      <c r="B10" s="1">
        <v>45300</v>
      </c>
      <c r="C10">
        <v>2188</v>
      </c>
      <c r="D10" t="s">
        <v>15</v>
      </c>
      <c r="E10" t="s">
        <v>16</v>
      </c>
      <c r="F10">
        <v>100</v>
      </c>
      <c r="I10" t="b">
        <v>0</v>
      </c>
      <c r="K10" s="1">
        <f t="shared" si="0"/>
        <v>45300</v>
      </c>
      <c r="L10">
        <f t="shared" si="1"/>
        <v>100</v>
      </c>
    </row>
    <row r="11" spans="1:12" hidden="1" x14ac:dyDescent="0.3">
      <c r="A11" s="1">
        <v>45301</v>
      </c>
      <c r="B11" s="1">
        <v>45301</v>
      </c>
      <c r="C11">
        <v>2188</v>
      </c>
      <c r="D11" t="s">
        <v>17</v>
      </c>
      <c r="E11" t="s">
        <v>18</v>
      </c>
      <c r="F11">
        <v>100</v>
      </c>
      <c r="I11" t="b">
        <v>0</v>
      </c>
      <c r="K11" s="1">
        <f t="shared" si="0"/>
        <v>45301</v>
      </c>
      <c r="L11">
        <f t="shared" si="1"/>
        <v>100</v>
      </c>
    </row>
    <row r="12" spans="1:12" hidden="1" x14ac:dyDescent="0.3">
      <c r="A12" s="1">
        <v>45302</v>
      </c>
      <c r="B12" s="1">
        <v>45302</v>
      </c>
      <c r="C12">
        <v>2188</v>
      </c>
      <c r="D12" t="s">
        <v>19</v>
      </c>
      <c r="E12" t="s">
        <v>7</v>
      </c>
      <c r="F12">
        <v>100</v>
      </c>
      <c r="I12" t="b">
        <v>0</v>
      </c>
      <c r="K12" s="1">
        <f t="shared" si="0"/>
        <v>45302</v>
      </c>
      <c r="L12">
        <f t="shared" si="1"/>
        <v>100</v>
      </c>
    </row>
    <row r="13" spans="1:12" hidden="1" x14ac:dyDescent="0.3">
      <c r="A13" s="1">
        <v>45303</v>
      </c>
      <c r="B13" s="1">
        <v>45303</v>
      </c>
      <c r="C13">
        <v>2188</v>
      </c>
      <c r="D13" t="s">
        <v>20</v>
      </c>
      <c r="E13" t="s">
        <v>12</v>
      </c>
      <c r="F13">
        <v>100</v>
      </c>
      <c r="I13" t="b">
        <v>0</v>
      </c>
      <c r="K13" s="1">
        <f t="shared" si="0"/>
        <v>45303</v>
      </c>
      <c r="L13">
        <f t="shared" si="1"/>
        <v>100</v>
      </c>
    </row>
    <row r="14" spans="1:12" hidden="1" x14ac:dyDescent="0.3">
      <c r="A14" s="1">
        <v>45304</v>
      </c>
      <c r="B14" s="1">
        <v>45304</v>
      </c>
      <c r="C14">
        <v>2188</v>
      </c>
      <c r="D14" t="s">
        <v>21</v>
      </c>
      <c r="E14" t="s">
        <v>22</v>
      </c>
      <c r="G14">
        <v>100</v>
      </c>
      <c r="I14" t="b">
        <v>0</v>
      </c>
      <c r="K14" s="1">
        <f t="shared" si="0"/>
        <v>45304</v>
      </c>
      <c r="L14">
        <f t="shared" si="1"/>
        <v>-100</v>
      </c>
    </row>
    <row r="15" spans="1:12" hidden="1" x14ac:dyDescent="0.3">
      <c r="A15" s="1">
        <v>45305</v>
      </c>
      <c r="B15" s="1">
        <v>45305</v>
      </c>
      <c r="C15">
        <v>2188</v>
      </c>
      <c r="D15" t="s">
        <v>23</v>
      </c>
      <c r="E15" t="s">
        <v>8</v>
      </c>
      <c r="F15">
        <v>100</v>
      </c>
      <c r="I15" t="b">
        <v>0</v>
      </c>
      <c r="K15" s="1">
        <f t="shared" si="0"/>
        <v>45305</v>
      </c>
      <c r="L15">
        <f t="shared" si="1"/>
        <v>100</v>
      </c>
    </row>
    <row r="16" spans="1:12" hidden="1" x14ac:dyDescent="0.3">
      <c r="A16" s="1">
        <v>45306</v>
      </c>
      <c r="B16" s="1">
        <v>45306</v>
      </c>
      <c r="C16">
        <v>2188</v>
      </c>
      <c r="D16" t="s">
        <v>24</v>
      </c>
      <c r="E16" t="s">
        <v>8</v>
      </c>
      <c r="F16">
        <v>100</v>
      </c>
      <c r="I16" t="b">
        <v>0</v>
      </c>
      <c r="K16" s="1">
        <f t="shared" si="0"/>
        <v>45306</v>
      </c>
      <c r="L16">
        <f t="shared" si="1"/>
        <v>100</v>
      </c>
    </row>
    <row r="17" spans="1:12" hidden="1" x14ac:dyDescent="0.3">
      <c r="A17" s="1">
        <v>45307</v>
      </c>
      <c r="B17" s="1">
        <v>45307</v>
      </c>
      <c r="C17">
        <v>2188</v>
      </c>
      <c r="D17" t="s">
        <v>25</v>
      </c>
      <c r="E17" t="s">
        <v>12</v>
      </c>
      <c r="F17">
        <v>100</v>
      </c>
      <c r="I17" t="b">
        <v>0</v>
      </c>
      <c r="K17" s="1">
        <f t="shared" si="0"/>
        <v>45307</v>
      </c>
      <c r="L17">
        <f t="shared" si="1"/>
        <v>100</v>
      </c>
    </row>
    <row r="18" spans="1:12" hidden="1" x14ac:dyDescent="0.3">
      <c r="A18" s="1">
        <v>45308</v>
      </c>
      <c r="B18" s="1">
        <v>45308</v>
      </c>
      <c r="C18">
        <v>2188</v>
      </c>
      <c r="D18" t="s">
        <v>26</v>
      </c>
      <c r="E18" t="s">
        <v>12</v>
      </c>
      <c r="F18">
        <v>100</v>
      </c>
      <c r="H18" t="b">
        <v>1</v>
      </c>
      <c r="I18" t="b">
        <v>0</v>
      </c>
      <c r="K18" s="1">
        <f t="shared" si="0"/>
        <v>45308</v>
      </c>
      <c r="L18">
        <f t="shared" si="1"/>
        <v>0</v>
      </c>
    </row>
    <row r="19" spans="1:12" hidden="1" x14ac:dyDescent="0.3">
      <c r="A19" s="1">
        <v>45309</v>
      </c>
      <c r="B19" s="1">
        <v>45309</v>
      </c>
      <c r="C19">
        <v>2188</v>
      </c>
      <c r="D19" t="s">
        <v>27</v>
      </c>
      <c r="E19" t="s">
        <v>12</v>
      </c>
      <c r="F19">
        <v>100</v>
      </c>
      <c r="I19" t="b">
        <v>0</v>
      </c>
      <c r="K19" s="1">
        <f t="shared" si="0"/>
        <v>45309</v>
      </c>
      <c r="L19">
        <f t="shared" si="1"/>
        <v>100</v>
      </c>
    </row>
    <row r="20" spans="1:12" hidden="1" x14ac:dyDescent="0.3">
      <c r="A20" s="1">
        <v>45310</v>
      </c>
      <c r="B20" s="1">
        <v>45310</v>
      </c>
      <c r="C20">
        <v>2188</v>
      </c>
      <c r="D20" t="s">
        <v>28</v>
      </c>
      <c r="E20" t="s">
        <v>12</v>
      </c>
      <c r="F20">
        <v>100</v>
      </c>
      <c r="I20" t="b">
        <v>0</v>
      </c>
      <c r="K20" s="1">
        <f t="shared" si="0"/>
        <v>45310</v>
      </c>
      <c r="L20">
        <f t="shared" si="1"/>
        <v>100</v>
      </c>
    </row>
    <row r="21" spans="1:12" hidden="1" x14ac:dyDescent="0.3">
      <c r="A21" s="1">
        <v>45311</v>
      </c>
      <c r="B21" s="1">
        <v>45311</v>
      </c>
      <c r="C21">
        <v>2188</v>
      </c>
      <c r="D21" t="s">
        <v>29</v>
      </c>
      <c r="E21" t="s">
        <v>12</v>
      </c>
      <c r="F21">
        <v>100</v>
      </c>
      <c r="I21" t="b">
        <v>0</v>
      </c>
      <c r="K21" s="1">
        <f t="shared" si="0"/>
        <v>45311</v>
      </c>
      <c r="L21">
        <f t="shared" si="1"/>
        <v>100</v>
      </c>
    </row>
    <row r="22" spans="1:12" hidden="1" x14ac:dyDescent="0.3">
      <c r="A22" s="1">
        <v>45312</v>
      </c>
      <c r="B22" s="1">
        <v>45312</v>
      </c>
      <c r="C22">
        <v>2188</v>
      </c>
      <c r="D22" t="s">
        <v>30</v>
      </c>
      <c r="E22" t="s">
        <v>12</v>
      </c>
      <c r="F22">
        <v>100</v>
      </c>
      <c r="I22" t="b">
        <v>0</v>
      </c>
      <c r="K22" s="1">
        <f t="shared" si="0"/>
        <v>45312</v>
      </c>
      <c r="L22">
        <f t="shared" si="1"/>
        <v>100</v>
      </c>
    </row>
    <row r="23" spans="1:12" hidden="1" x14ac:dyDescent="0.3">
      <c r="A23" s="1">
        <v>45313</v>
      </c>
      <c r="B23" s="1">
        <v>45313</v>
      </c>
      <c r="C23">
        <v>2188</v>
      </c>
      <c r="D23" t="s">
        <v>31</v>
      </c>
      <c r="E23" t="s">
        <v>12</v>
      </c>
      <c r="F23">
        <v>100</v>
      </c>
      <c r="I23" t="b">
        <v>0</v>
      </c>
      <c r="K23" s="1">
        <f t="shared" si="0"/>
        <v>45313</v>
      </c>
      <c r="L23">
        <f t="shared" si="1"/>
        <v>100</v>
      </c>
    </row>
    <row r="24" spans="1:12" hidden="1" x14ac:dyDescent="0.3">
      <c r="A24" s="1">
        <v>45314</v>
      </c>
      <c r="B24" s="1">
        <v>45314</v>
      </c>
      <c r="C24">
        <v>2188</v>
      </c>
      <c r="D24" t="s">
        <v>32</v>
      </c>
      <c r="E24" t="s">
        <v>12</v>
      </c>
      <c r="F24">
        <v>100</v>
      </c>
      <c r="I24" t="b">
        <v>0</v>
      </c>
      <c r="K24" s="1">
        <f t="shared" si="0"/>
        <v>45314</v>
      </c>
      <c r="L24">
        <f t="shared" si="1"/>
        <v>100</v>
      </c>
    </row>
    <row r="25" spans="1:12" hidden="1" x14ac:dyDescent="0.3">
      <c r="A25" s="1">
        <v>45315</v>
      </c>
      <c r="B25" s="1">
        <v>45315</v>
      </c>
      <c r="C25">
        <v>2188</v>
      </c>
      <c r="D25" t="s">
        <v>33</v>
      </c>
      <c r="E25" t="s">
        <v>12</v>
      </c>
      <c r="F25">
        <v>100</v>
      </c>
      <c r="I25" t="b">
        <v>0</v>
      </c>
      <c r="K25" s="1">
        <f t="shared" si="0"/>
        <v>45315</v>
      </c>
      <c r="L25">
        <f t="shared" si="1"/>
        <v>100</v>
      </c>
    </row>
    <row r="26" spans="1:12" hidden="1" x14ac:dyDescent="0.3">
      <c r="A26" s="1">
        <v>45316</v>
      </c>
      <c r="B26" s="1">
        <v>45316</v>
      </c>
      <c r="C26">
        <v>2188</v>
      </c>
      <c r="D26" t="s">
        <v>34</v>
      </c>
      <c r="E26" t="s">
        <v>12</v>
      </c>
      <c r="F26">
        <v>100</v>
      </c>
      <c r="I26" t="b">
        <v>0</v>
      </c>
      <c r="K26" s="1">
        <f t="shared" si="0"/>
        <v>45316</v>
      </c>
      <c r="L26">
        <f t="shared" si="1"/>
        <v>100</v>
      </c>
    </row>
    <row r="27" spans="1:12" hidden="1" x14ac:dyDescent="0.3">
      <c r="A27" s="1">
        <v>45317</v>
      </c>
      <c r="B27" s="1">
        <v>45317</v>
      </c>
      <c r="C27">
        <v>2188</v>
      </c>
      <c r="D27" t="s">
        <v>35</v>
      </c>
      <c r="E27" t="s">
        <v>12</v>
      </c>
      <c r="F27">
        <v>100</v>
      </c>
      <c r="I27" t="b">
        <v>0</v>
      </c>
      <c r="K27" s="1">
        <f t="shared" si="0"/>
        <v>45317</v>
      </c>
      <c r="L27">
        <f t="shared" si="1"/>
        <v>100</v>
      </c>
    </row>
    <row r="28" spans="1:12" hidden="1" x14ac:dyDescent="0.3">
      <c r="A28" s="1">
        <v>45318</v>
      </c>
      <c r="B28" s="1">
        <v>45318</v>
      </c>
      <c r="C28">
        <v>2188</v>
      </c>
      <c r="D28" t="s">
        <v>36</v>
      </c>
      <c r="E28" t="s">
        <v>37</v>
      </c>
      <c r="F28">
        <v>100</v>
      </c>
      <c r="I28" t="b">
        <v>0</v>
      </c>
      <c r="K28" s="1">
        <f t="shared" si="0"/>
        <v>45318</v>
      </c>
      <c r="L28">
        <f t="shared" si="1"/>
        <v>100</v>
      </c>
    </row>
    <row r="29" spans="1:12" hidden="1" x14ac:dyDescent="0.3">
      <c r="A29" s="1">
        <v>45319</v>
      </c>
      <c r="B29" s="1">
        <v>45319</v>
      </c>
      <c r="C29">
        <v>2188</v>
      </c>
      <c r="D29" t="s">
        <v>38</v>
      </c>
      <c r="E29" t="s">
        <v>12</v>
      </c>
      <c r="F29">
        <v>100</v>
      </c>
      <c r="I29" t="b">
        <v>0</v>
      </c>
      <c r="K29" s="1">
        <f t="shared" si="0"/>
        <v>45319</v>
      </c>
      <c r="L29">
        <f t="shared" si="1"/>
        <v>100</v>
      </c>
    </row>
    <row r="30" spans="1:12" hidden="1" x14ac:dyDescent="0.3">
      <c r="A30" s="1">
        <v>45320</v>
      </c>
      <c r="B30" s="1">
        <v>45320</v>
      </c>
      <c r="C30">
        <v>2188</v>
      </c>
      <c r="D30" t="s">
        <v>39</v>
      </c>
      <c r="E30" t="s">
        <v>8</v>
      </c>
      <c r="F30">
        <v>100</v>
      </c>
      <c r="I30" t="b">
        <v>0</v>
      </c>
      <c r="K30" s="1">
        <f t="shared" si="0"/>
        <v>45320</v>
      </c>
      <c r="L30">
        <f t="shared" si="1"/>
        <v>100</v>
      </c>
    </row>
    <row r="31" spans="1:12" hidden="1" x14ac:dyDescent="0.3">
      <c r="A31" s="1">
        <v>45321</v>
      </c>
      <c r="B31" s="1">
        <v>45321</v>
      </c>
      <c r="C31">
        <v>2188</v>
      </c>
      <c r="D31" t="s">
        <v>40</v>
      </c>
      <c r="E31" t="s">
        <v>41</v>
      </c>
      <c r="F31">
        <v>100</v>
      </c>
      <c r="I31" t="b">
        <v>0</v>
      </c>
      <c r="K31" s="1">
        <f t="shared" si="0"/>
        <v>45321</v>
      </c>
      <c r="L31">
        <f t="shared" si="1"/>
        <v>100</v>
      </c>
    </row>
    <row r="32" spans="1:12" hidden="1" x14ac:dyDescent="0.3">
      <c r="A32" s="1">
        <v>45322</v>
      </c>
      <c r="B32" s="1">
        <v>45322</v>
      </c>
      <c r="C32">
        <v>2188</v>
      </c>
      <c r="D32" t="s">
        <v>42</v>
      </c>
      <c r="E32" t="s">
        <v>41</v>
      </c>
      <c r="F32">
        <v>100</v>
      </c>
      <c r="I32" t="b">
        <v>0</v>
      </c>
      <c r="K32" s="1">
        <f t="shared" si="0"/>
        <v>45322</v>
      </c>
      <c r="L32">
        <f t="shared" si="1"/>
        <v>100</v>
      </c>
    </row>
    <row r="33" spans="1:12" x14ac:dyDescent="0.3">
      <c r="A33" s="1">
        <v>45321</v>
      </c>
      <c r="B33" s="1">
        <v>45323</v>
      </c>
      <c r="C33">
        <v>2188</v>
      </c>
      <c r="D33" t="s">
        <v>53</v>
      </c>
      <c r="E33" t="s">
        <v>7</v>
      </c>
      <c r="F33">
        <v>111</v>
      </c>
      <c r="I33" t="b">
        <v>0</v>
      </c>
      <c r="K33" s="1">
        <f t="shared" si="0"/>
        <v>45321</v>
      </c>
      <c r="L33">
        <f t="shared" si="1"/>
        <v>111</v>
      </c>
    </row>
    <row r="34" spans="1:12" hidden="1" x14ac:dyDescent="0.3">
      <c r="A34" s="1">
        <v>45322</v>
      </c>
      <c r="B34" s="1">
        <v>45324</v>
      </c>
      <c r="C34">
        <v>2188</v>
      </c>
      <c r="D34" t="s">
        <v>54</v>
      </c>
      <c r="E34" t="s">
        <v>8</v>
      </c>
      <c r="F34">
        <v>222</v>
      </c>
      <c r="I34" t="b">
        <v>0</v>
      </c>
      <c r="K34" s="1">
        <f t="shared" si="0"/>
        <v>45322</v>
      </c>
      <c r="L34">
        <f t="shared" si="1"/>
        <v>222</v>
      </c>
    </row>
    <row r="35" spans="1:12" hidden="1" x14ac:dyDescent="0.3">
      <c r="A35" s="1">
        <v>45323</v>
      </c>
      <c r="B35" s="1">
        <v>45325</v>
      </c>
      <c r="C35">
        <v>2188</v>
      </c>
      <c r="D35" t="s">
        <v>55</v>
      </c>
      <c r="E35" t="s">
        <v>9</v>
      </c>
      <c r="F35">
        <v>-333</v>
      </c>
      <c r="I35" t="b">
        <v>1</v>
      </c>
      <c r="J35" s="1">
        <v>45322</v>
      </c>
      <c r="K35" s="1">
        <f t="shared" si="0"/>
        <v>45322</v>
      </c>
      <c r="L35">
        <f t="shared" si="1"/>
        <v>-333</v>
      </c>
    </row>
    <row r="36" spans="1:12" hidden="1" x14ac:dyDescent="0.3">
      <c r="A36" s="1">
        <v>45324</v>
      </c>
      <c r="B36" s="1">
        <v>45326</v>
      </c>
      <c r="C36">
        <v>2188</v>
      </c>
      <c r="D36" t="s">
        <v>56</v>
      </c>
      <c r="E36" t="s">
        <v>8</v>
      </c>
      <c r="F36">
        <v>-444</v>
      </c>
      <c r="I36" t="b">
        <v>1</v>
      </c>
      <c r="J36" s="1">
        <v>45322</v>
      </c>
      <c r="K36" s="1">
        <f t="shared" si="0"/>
        <v>45322</v>
      </c>
      <c r="L36">
        <f t="shared" si="1"/>
        <v>-444</v>
      </c>
    </row>
    <row r="37" spans="1:12" hidden="1" x14ac:dyDescent="0.3">
      <c r="A37" s="1">
        <v>45325</v>
      </c>
      <c r="B37" s="1">
        <v>45327</v>
      </c>
      <c r="C37">
        <v>2188</v>
      </c>
      <c r="D37" t="s">
        <v>57</v>
      </c>
      <c r="E37" t="s">
        <v>10</v>
      </c>
      <c r="F37">
        <v>-555</v>
      </c>
      <c r="I37" t="b">
        <v>1</v>
      </c>
      <c r="J37" s="1">
        <v>45322</v>
      </c>
      <c r="K37" s="1">
        <f t="shared" si="0"/>
        <v>45322</v>
      </c>
      <c r="L37">
        <f t="shared" si="1"/>
        <v>-555</v>
      </c>
    </row>
    <row r="38" spans="1:12" hidden="1" x14ac:dyDescent="0.3">
      <c r="A38" s="1">
        <v>45326</v>
      </c>
      <c r="B38" s="1">
        <v>45328</v>
      </c>
      <c r="C38">
        <v>2188</v>
      </c>
      <c r="D38" t="s">
        <v>11</v>
      </c>
      <c r="E38" t="s">
        <v>12</v>
      </c>
      <c r="F38">
        <v>100</v>
      </c>
      <c r="I38" t="b">
        <v>0</v>
      </c>
      <c r="K38" s="1">
        <f t="shared" si="0"/>
        <v>45326</v>
      </c>
      <c r="L38">
        <f t="shared" si="1"/>
        <v>100</v>
      </c>
    </row>
    <row r="39" spans="1:12" hidden="1" x14ac:dyDescent="0.3">
      <c r="A39" s="1">
        <v>45327</v>
      </c>
      <c r="B39" s="1">
        <v>45329</v>
      </c>
      <c r="C39">
        <v>2188</v>
      </c>
      <c r="D39" t="s">
        <v>13</v>
      </c>
      <c r="E39" t="s">
        <v>8</v>
      </c>
      <c r="F39">
        <v>100</v>
      </c>
      <c r="I39" t="b">
        <v>0</v>
      </c>
      <c r="K39" s="1">
        <f t="shared" si="0"/>
        <v>45327</v>
      </c>
      <c r="L39">
        <f t="shared" si="1"/>
        <v>100</v>
      </c>
    </row>
    <row r="40" spans="1:12" hidden="1" x14ac:dyDescent="0.3">
      <c r="A40" s="1">
        <v>45328</v>
      </c>
      <c r="B40" s="1">
        <v>45330</v>
      </c>
      <c r="C40">
        <v>2188</v>
      </c>
      <c r="D40" t="s">
        <v>14</v>
      </c>
      <c r="E40" t="s">
        <v>12</v>
      </c>
      <c r="F40">
        <v>100</v>
      </c>
      <c r="I40" t="b">
        <v>0</v>
      </c>
      <c r="K40" s="1">
        <f t="shared" si="0"/>
        <v>45328</v>
      </c>
      <c r="L40">
        <f t="shared" si="1"/>
        <v>100</v>
      </c>
    </row>
    <row r="41" spans="1:12" hidden="1" x14ac:dyDescent="0.3">
      <c r="A41" s="1">
        <v>45329</v>
      </c>
      <c r="B41" s="1">
        <v>45331</v>
      </c>
      <c r="C41">
        <v>2188</v>
      </c>
      <c r="D41" t="s">
        <v>15</v>
      </c>
      <c r="E41" t="s">
        <v>16</v>
      </c>
      <c r="F41">
        <v>100</v>
      </c>
      <c r="I41" t="b">
        <v>0</v>
      </c>
      <c r="K41" s="1">
        <f t="shared" si="0"/>
        <v>45329</v>
      </c>
      <c r="L41">
        <f t="shared" si="1"/>
        <v>100</v>
      </c>
    </row>
    <row r="42" spans="1:12" hidden="1" x14ac:dyDescent="0.3">
      <c r="A42" s="1">
        <v>45330</v>
      </c>
      <c r="B42" s="1">
        <v>45332</v>
      </c>
      <c r="C42">
        <v>2188</v>
      </c>
      <c r="D42" t="s">
        <v>17</v>
      </c>
      <c r="E42" t="s">
        <v>18</v>
      </c>
      <c r="F42">
        <v>100</v>
      </c>
      <c r="I42" t="b">
        <v>0</v>
      </c>
      <c r="K42" s="1">
        <f t="shared" si="0"/>
        <v>45330</v>
      </c>
      <c r="L42">
        <f t="shared" si="1"/>
        <v>100</v>
      </c>
    </row>
    <row r="43" spans="1:12" hidden="1" x14ac:dyDescent="0.3">
      <c r="A43" s="1">
        <v>45331</v>
      </c>
      <c r="B43" s="1">
        <v>45333</v>
      </c>
      <c r="C43">
        <v>2188</v>
      </c>
      <c r="D43" t="s">
        <v>19</v>
      </c>
      <c r="E43" t="s">
        <v>7</v>
      </c>
      <c r="F43">
        <v>100</v>
      </c>
      <c r="I43" t="b">
        <v>0</v>
      </c>
      <c r="K43" s="1">
        <f t="shared" si="0"/>
        <v>45331</v>
      </c>
      <c r="L43">
        <f t="shared" si="1"/>
        <v>100</v>
      </c>
    </row>
    <row r="44" spans="1:12" hidden="1" x14ac:dyDescent="0.3">
      <c r="A44" s="1">
        <v>45332</v>
      </c>
      <c r="B44" s="1">
        <v>45334</v>
      </c>
      <c r="C44">
        <v>2188</v>
      </c>
      <c r="D44" t="s">
        <v>20</v>
      </c>
      <c r="E44" t="s">
        <v>12</v>
      </c>
      <c r="F44">
        <v>100</v>
      </c>
      <c r="I44" t="b">
        <v>0</v>
      </c>
      <c r="K44" s="1">
        <f t="shared" si="0"/>
        <v>45332</v>
      </c>
      <c r="L44">
        <f t="shared" si="1"/>
        <v>100</v>
      </c>
    </row>
    <row r="45" spans="1:12" hidden="1" x14ac:dyDescent="0.3">
      <c r="A45" s="1">
        <v>45333</v>
      </c>
      <c r="B45" s="1">
        <v>45335</v>
      </c>
      <c r="C45">
        <v>2188</v>
      </c>
      <c r="D45" t="s">
        <v>21</v>
      </c>
      <c r="E45" t="s">
        <v>22</v>
      </c>
      <c r="G45">
        <v>100</v>
      </c>
      <c r="I45" t="b">
        <v>0</v>
      </c>
      <c r="K45" s="1">
        <f t="shared" si="0"/>
        <v>45333</v>
      </c>
      <c r="L45">
        <f t="shared" si="1"/>
        <v>-100</v>
      </c>
    </row>
    <row r="46" spans="1:12" hidden="1" x14ac:dyDescent="0.3">
      <c r="A46" s="1">
        <v>45334</v>
      </c>
      <c r="B46" s="1">
        <v>45336</v>
      </c>
      <c r="C46">
        <v>2188</v>
      </c>
      <c r="D46" t="s">
        <v>23</v>
      </c>
      <c r="E46" t="s">
        <v>8</v>
      </c>
      <c r="F46">
        <v>100</v>
      </c>
      <c r="I46" t="b">
        <v>0</v>
      </c>
      <c r="K46" s="1">
        <f t="shared" si="0"/>
        <v>45334</v>
      </c>
      <c r="L46">
        <f t="shared" si="1"/>
        <v>100</v>
      </c>
    </row>
    <row r="47" spans="1:12" hidden="1" x14ac:dyDescent="0.3">
      <c r="A47" s="1">
        <v>45335</v>
      </c>
      <c r="B47" s="1">
        <v>45337</v>
      </c>
      <c r="C47">
        <v>2188</v>
      </c>
      <c r="D47" t="s">
        <v>24</v>
      </c>
      <c r="E47" t="s">
        <v>8</v>
      </c>
      <c r="F47">
        <v>100</v>
      </c>
      <c r="I47" t="b">
        <v>0</v>
      </c>
      <c r="K47" s="1">
        <f t="shared" si="0"/>
        <v>45335</v>
      </c>
      <c r="L47">
        <f t="shared" si="1"/>
        <v>100</v>
      </c>
    </row>
    <row r="48" spans="1:12" hidden="1" x14ac:dyDescent="0.3">
      <c r="A48" s="1">
        <v>45336</v>
      </c>
      <c r="B48" s="1">
        <v>45338</v>
      </c>
      <c r="C48">
        <v>2188</v>
      </c>
      <c r="D48" t="s">
        <v>25</v>
      </c>
      <c r="E48" t="s">
        <v>12</v>
      </c>
      <c r="F48">
        <v>100</v>
      </c>
      <c r="I48" t="b">
        <v>0</v>
      </c>
      <c r="K48" s="1">
        <f t="shared" si="0"/>
        <v>45336</v>
      </c>
      <c r="L48">
        <f t="shared" si="1"/>
        <v>100</v>
      </c>
    </row>
    <row r="49" spans="1:12" hidden="1" x14ac:dyDescent="0.3">
      <c r="A49" s="1">
        <v>45337</v>
      </c>
      <c r="B49" s="1">
        <v>45339</v>
      </c>
      <c r="C49">
        <v>2188</v>
      </c>
      <c r="D49" t="s">
        <v>26</v>
      </c>
      <c r="E49" t="s">
        <v>12</v>
      </c>
      <c r="F49">
        <v>100</v>
      </c>
      <c r="H49" t="b">
        <v>1</v>
      </c>
      <c r="I49" t="b">
        <v>0</v>
      </c>
      <c r="K49" s="1">
        <f t="shared" si="0"/>
        <v>45337</v>
      </c>
      <c r="L49">
        <f t="shared" si="1"/>
        <v>0</v>
      </c>
    </row>
    <row r="50" spans="1:12" hidden="1" x14ac:dyDescent="0.3">
      <c r="A50" s="1">
        <v>45338</v>
      </c>
      <c r="B50" s="1">
        <v>45340</v>
      </c>
      <c r="C50">
        <v>2188</v>
      </c>
      <c r="D50" t="s">
        <v>27</v>
      </c>
      <c r="E50" t="s">
        <v>12</v>
      </c>
      <c r="F50">
        <v>100</v>
      </c>
      <c r="I50" t="b">
        <v>0</v>
      </c>
      <c r="K50" s="1">
        <f t="shared" si="0"/>
        <v>45338</v>
      </c>
      <c r="L50">
        <f t="shared" si="1"/>
        <v>100</v>
      </c>
    </row>
    <row r="51" spans="1:12" hidden="1" x14ac:dyDescent="0.3">
      <c r="A51" s="1">
        <v>45339</v>
      </c>
      <c r="B51" s="1">
        <v>45341</v>
      </c>
      <c r="C51">
        <v>2188</v>
      </c>
      <c r="D51" t="s">
        <v>28</v>
      </c>
      <c r="E51" t="s">
        <v>12</v>
      </c>
      <c r="F51">
        <v>100</v>
      </c>
      <c r="I51" t="b">
        <v>0</v>
      </c>
      <c r="K51" s="1">
        <f t="shared" si="0"/>
        <v>45339</v>
      </c>
      <c r="L51">
        <f t="shared" si="1"/>
        <v>100</v>
      </c>
    </row>
    <row r="52" spans="1:12" hidden="1" x14ac:dyDescent="0.3">
      <c r="A52" s="1">
        <v>45340</v>
      </c>
      <c r="B52" s="1">
        <v>45342</v>
      </c>
      <c r="C52">
        <v>2188</v>
      </c>
      <c r="D52" t="s">
        <v>29</v>
      </c>
      <c r="E52" t="s">
        <v>12</v>
      </c>
      <c r="F52">
        <v>100</v>
      </c>
      <c r="I52" t="b">
        <v>0</v>
      </c>
      <c r="K52" s="1">
        <f t="shared" si="0"/>
        <v>45340</v>
      </c>
      <c r="L52">
        <f t="shared" si="1"/>
        <v>100</v>
      </c>
    </row>
    <row r="53" spans="1:12" hidden="1" x14ac:dyDescent="0.3">
      <c r="A53" s="1">
        <v>45341</v>
      </c>
      <c r="B53" s="1">
        <v>45343</v>
      </c>
      <c r="C53">
        <v>2188</v>
      </c>
      <c r="D53" t="s">
        <v>30</v>
      </c>
      <c r="E53" t="s">
        <v>12</v>
      </c>
      <c r="F53">
        <v>100</v>
      </c>
      <c r="I53" t="b">
        <v>0</v>
      </c>
      <c r="K53" s="1">
        <f t="shared" si="0"/>
        <v>45341</v>
      </c>
      <c r="L53">
        <f t="shared" si="1"/>
        <v>100</v>
      </c>
    </row>
    <row r="54" spans="1:12" hidden="1" x14ac:dyDescent="0.3">
      <c r="A54" s="1">
        <v>45342</v>
      </c>
      <c r="B54" s="1">
        <v>45344</v>
      </c>
      <c r="C54">
        <v>2188</v>
      </c>
      <c r="D54" t="s">
        <v>31</v>
      </c>
      <c r="E54" t="s">
        <v>12</v>
      </c>
      <c r="F54">
        <v>100</v>
      </c>
      <c r="I54" t="b">
        <v>0</v>
      </c>
      <c r="K54" s="1">
        <f t="shared" si="0"/>
        <v>45342</v>
      </c>
      <c r="L54">
        <f t="shared" si="1"/>
        <v>100</v>
      </c>
    </row>
    <row r="55" spans="1:12" hidden="1" x14ac:dyDescent="0.3">
      <c r="A55" s="1">
        <v>45343</v>
      </c>
      <c r="B55" s="1">
        <v>45345</v>
      </c>
      <c r="C55">
        <v>2188</v>
      </c>
      <c r="D55" t="s">
        <v>32</v>
      </c>
      <c r="E55" t="s">
        <v>12</v>
      </c>
      <c r="F55">
        <v>100</v>
      </c>
      <c r="I55" t="b">
        <v>0</v>
      </c>
      <c r="K55" s="1">
        <f t="shared" si="0"/>
        <v>45343</v>
      </c>
      <c r="L55">
        <f t="shared" si="1"/>
        <v>100</v>
      </c>
    </row>
    <row r="56" spans="1:12" hidden="1" x14ac:dyDescent="0.3">
      <c r="A56" s="1">
        <v>45344</v>
      </c>
      <c r="B56" s="1">
        <v>45346</v>
      </c>
      <c r="C56">
        <v>2188</v>
      </c>
      <c r="D56" t="s">
        <v>33</v>
      </c>
      <c r="E56" t="s">
        <v>12</v>
      </c>
      <c r="F56">
        <v>100</v>
      </c>
      <c r="I56" t="b">
        <v>0</v>
      </c>
      <c r="K56" s="1">
        <f t="shared" si="0"/>
        <v>45344</v>
      </c>
      <c r="L56">
        <f t="shared" si="1"/>
        <v>100</v>
      </c>
    </row>
    <row r="57" spans="1:12" hidden="1" x14ac:dyDescent="0.3">
      <c r="A57" s="1">
        <v>45345</v>
      </c>
      <c r="B57" s="1">
        <v>45347</v>
      </c>
      <c r="C57">
        <v>2188</v>
      </c>
      <c r="D57" t="s">
        <v>34</v>
      </c>
      <c r="E57" t="s">
        <v>12</v>
      </c>
      <c r="F57">
        <v>100</v>
      </c>
      <c r="I57" t="b">
        <v>0</v>
      </c>
      <c r="K57" s="1">
        <f t="shared" si="0"/>
        <v>45345</v>
      </c>
      <c r="L57">
        <f t="shared" si="1"/>
        <v>100</v>
      </c>
    </row>
    <row r="58" spans="1:12" hidden="1" x14ac:dyDescent="0.3">
      <c r="A58" s="1">
        <v>45346</v>
      </c>
      <c r="B58" s="1">
        <v>45348</v>
      </c>
      <c r="C58">
        <v>2188</v>
      </c>
      <c r="D58" t="s">
        <v>35</v>
      </c>
      <c r="E58" t="s">
        <v>12</v>
      </c>
      <c r="F58">
        <v>100</v>
      </c>
      <c r="I58" t="b">
        <v>0</v>
      </c>
      <c r="K58" s="1">
        <f t="shared" si="0"/>
        <v>45346</v>
      </c>
      <c r="L58">
        <f t="shared" si="1"/>
        <v>100</v>
      </c>
    </row>
    <row r="59" spans="1:12" hidden="1" x14ac:dyDescent="0.3">
      <c r="A59" s="1">
        <v>45347</v>
      </c>
      <c r="B59" s="1">
        <v>45349</v>
      </c>
      <c r="C59">
        <v>2188</v>
      </c>
      <c r="D59" t="s">
        <v>36</v>
      </c>
      <c r="E59" t="s">
        <v>37</v>
      </c>
      <c r="F59">
        <v>100</v>
      </c>
      <c r="I59" t="b">
        <v>0</v>
      </c>
      <c r="K59" s="1">
        <f t="shared" si="0"/>
        <v>45347</v>
      </c>
      <c r="L59">
        <f t="shared" si="1"/>
        <v>100</v>
      </c>
    </row>
    <row r="60" spans="1:12" hidden="1" x14ac:dyDescent="0.3">
      <c r="A60" s="1">
        <v>45348</v>
      </c>
      <c r="B60" s="1">
        <v>45350</v>
      </c>
      <c r="C60">
        <v>2188</v>
      </c>
      <c r="D60" t="s">
        <v>38</v>
      </c>
      <c r="E60" t="s">
        <v>12</v>
      </c>
      <c r="F60">
        <v>100</v>
      </c>
      <c r="I60" t="b">
        <v>0</v>
      </c>
      <c r="K60" s="1">
        <f t="shared" si="0"/>
        <v>45348</v>
      </c>
      <c r="L60">
        <f t="shared" si="1"/>
        <v>100</v>
      </c>
    </row>
    <row r="61" spans="1:12" hidden="1" x14ac:dyDescent="0.3">
      <c r="A61" s="1">
        <v>45349</v>
      </c>
      <c r="B61" s="1">
        <v>45351</v>
      </c>
      <c r="C61">
        <v>2188</v>
      </c>
      <c r="D61" t="s">
        <v>39</v>
      </c>
      <c r="E61" t="s">
        <v>8</v>
      </c>
      <c r="F61">
        <v>100</v>
      </c>
      <c r="I61" t="b">
        <v>0</v>
      </c>
      <c r="K61" s="1">
        <f t="shared" si="0"/>
        <v>45349</v>
      </c>
      <c r="L61">
        <f t="shared" si="1"/>
        <v>100</v>
      </c>
    </row>
    <row r="62" spans="1:12" hidden="1" x14ac:dyDescent="0.3">
      <c r="A62" s="1">
        <v>45350</v>
      </c>
      <c r="B62" s="1">
        <v>45351</v>
      </c>
      <c r="C62">
        <v>2188</v>
      </c>
      <c r="D62" t="s">
        <v>40</v>
      </c>
      <c r="E62" t="s">
        <v>41</v>
      </c>
      <c r="F62">
        <v>100</v>
      </c>
      <c r="I62" t="b">
        <v>0</v>
      </c>
      <c r="K62" s="1">
        <f t="shared" si="0"/>
        <v>45350</v>
      </c>
      <c r="L62">
        <f t="shared" si="1"/>
        <v>100</v>
      </c>
    </row>
    <row r="63" spans="1:12" hidden="1" x14ac:dyDescent="0.3">
      <c r="A63" s="1">
        <v>45351</v>
      </c>
      <c r="B63" s="1">
        <v>45351</v>
      </c>
      <c r="C63">
        <v>2188</v>
      </c>
      <c r="D63" t="s">
        <v>42</v>
      </c>
      <c r="E63" t="s">
        <v>41</v>
      </c>
      <c r="F63">
        <v>100</v>
      </c>
      <c r="I63" t="b">
        <v>0</v>
      </c>
      <c r="K63" s="1">
        <f t="shared" si="0"/>
        <v>45351</v>
      </c>
      <c r="L63">
        <f t="shared" si="1"/>
        <v>100</v>
      </c>
    </row>
    <row r="64" spans="1:12" x14ac:dyDescent="0.3">
      <c r="A64" s="1">
        <v>45351</v>
      </c>
      <c r="B64" s="1">
        <v>45352</v>
      </c>
      <c r="C64">
        <v>2188</v>
      </c>
      <c r="D64" t="s">
        <v>53</v>
      </c>
      <c r="E64" t="s">
        <v>7</v>
      </c>
      <c r="F64">
        <v>111</v>
      </c>
      <c r="I64" t="b">
        <v>0</v>
      </c>
      <c r="K64" s="1">
        <f t="shared" si="0"/>
        <v>45351</v>
      </c>
      <c r="L64">
        <f t="shared" si="1"/>
        <v>111</v>
      </c>
    </row>
    <row r="65" spans="1:12" hidden="1" x14ac:dyDescent="0.3">
      <c r="A65" s="1">
        <v>45351</v>
      </c>
      <c r="B65" s="1">
        <v>45353</v>
      </c>
      <c r="C65">
        <v>2188</v>
      </c>
      <c r="D65" t="s">
        <v>54</v>
      </c>
      <c r="E65" t="s">
        <v>8</v>
      </c>
      <c r="F65">
        <v>222</v>
      </c>
      <c r="I65" t="b">
        <v>0</v>
      </c>
      <c r="K65" s="1">
        <f t="shared" si="0"/>
        <v>45351</v>
      </c>
      <c r="L65">
        <f t="shared" si="1"/>
        <v>222</v>
      </c>
    </row>
    <row r="66" spans="1:12" hidden="1" x14ac:dyDescent="0.3">
      <c r="A66" s="1">
        <v>45352</v>
      </c>
      <c r="B66" s="1">
        <v>45354</v>
      </c>
      <c r="C66">
        <v>2188</v>
      </c>
      <c r="D66" t="s">
        <v>55</v>
      </c>
      <c r="E66" t="s">
        <v>9</v>
      </c>
      <c r="F66">
        <v>333</v>
      </c>
      <c r="I66" t="b">
        <v>0</v>
      </c>
      <c r="K66" s="1">
        <f t="shared" si="0"/>
        <v>45352</v>
      </c>
      <c r="L66">
        <f t="shared" si="1"/>
        <v>333</v>
      </c>
    </row>
    <row r="67" spans="1:12" hidden="1" x14ac:dyDescent="0.3">
      <c r="A67" s="1">
        <v>45353</v>
      </c>
      <c r="B67" s="1">
        <v>45355</v>
      </c>
      <c r="C67">
        <v>2188</v>
      </c>
      <c r="D67" t="s">
        <v>56</v>
      </c>
      <c r="E67" t="s">
        <v>8</v>
      </c>
      <c r="F67">
        <v>444</v>
      </c>
      <c r="I67" t="b">
        <v>0</v>
      </c>
      <c r="K67" s="1">
        <f t="shared" ref="K67:K125" si="2">IF(I67=FALSE, IF(A67&lt;B67,A67,B67), J67)</f>
        <v>45353</v>
      </c>
      <c r="L67">
        <f t="shared" ref="L67:L125" si="3">IF(H67=FALSE,F67-G67,0)</f>
        <v>444</v>
      </c>
    </row>
    <row r="68" spans="1:12" hidden="1" x14ac:dyDescent="0.3">
      <c r="A68" s="1">
        <v>45354</v>
      </c>
      <c r="B68" s="1">
        <v>45356</v>
      </c>
      <c r="C68">
        <v>2188</v>
      </c>
      <c r="D68" t="s">
        <v>57</v>
      </c>
      <c r="E68" t="s">
        <v>10</v>
      </c>
      <c r="F68">
        <v>555</v>
      </c>
      <c r="I68" t="b">
        <v>0</v>
      </c>
      <c r="K68" s="1">
        <f t="shared" si="2"/>
        <v>45354</v>
      </c>
      <c r="L68">
        <f t="shared" si="3"/>
        <v>555</v>
      </c>
    </row>
    <row r="69" spans="1:12" hidden="1" x14ac:dyDescent="0.3">
      <c r="A69" s="1">
        <v>45355</v>
      </c>
      <c r="B69" s="1">
        <v>45357</v>
      </c>
      <c r="C69">
        <v>2188</v>
      </c>
      <c r="D69" t="s">
        <v>11</v>
      </c>
      <c r="E69" t="s">
        <v>12</v>
      </c>
      <c r="F69">
        <v>100</v>
      </c>
      <c r="I69" t="b">
        <v>0</v>
      </c>
      <c r="K69" s="1">
        <f t="shared" si="2"/>
        <v>45355</v>
      </c>
      <c r="L69">
        <f t="shared" si="3"/>
        <v>100</v>
      </c>
    </row>
    <row r="70" spans="1:12" hidden="1" x14ac:dyDescent="0.3">
      <c r="A70" s="1">
        <v>45356</v>
      </c>
      <c r="B70" s="1">
        <v>45358</v>
      </c>
      <c r="C70">
        <v>2188</v>
      </c>
      <c r="D70" t="s">
        <v>13</v>
      </c>
      <c r="E70" t="s">
        <v>8</v>
      </c>
      <c r="F70">
        <v>100</v>
      </c>
      <c r="I70" t="b">
        <v>0</v>
      </c>
      <c r="K70" s="1">
        <f t="shared" si="2"/>
        <v>45356</v>
      </c>
      <c r="L70">
        <f t="shared" si="3"/>
        <v>100</v>
      </c>
    </row>
    <row r="71" spans="1:12" hidden="1" x14ac:dyDescent="0.3">
      <c r="A71" s="1">
        <v>45357</v>
      </c>
      <c r="B71" s="1">
        <v>45359</v>
      </c>
      <c r="C71">
        <v>2188</v>
      </c>
      <c r="D71" t="s">
        <v>14</v>
      </c>
      <c r="E71" t="s">
        <v>12</v>
      </c>
      <c r="F71">
        <v>100</v>
      </c>
      <c r="I71" t="b">
        <v>0</v>
      </c>
      <c r="K71" s="1">
        <f t="shared" si="2"/>
        <v>45357</v>
      </c>
      <c r="L71">
        <f t="shared" si="3"/>
        <v>100</v>
      </c>
    </row>
    <row r="72" spans="1:12" hidden="1" x14ac:dyDescent="0.3">
      <c r="A72" s="1">
        <v>45358</v>
      </c>
      <c r="B72" s="1">
        <v>45360</v>
      </c>
      <c r="C72">
        <v>2188</v>
      </c>
      <c r="D72" t="s">
        <v>15</v>
      </c>
      <c r="E72" t="s">
        <v>16</v>
      </c>
      <c r="F72">
        <v>100</v>
      </c>
      <c r="I72" t="b">
        <v>0</v>
      </c>
      <c r="K72" s="1">
        <f t="shared" si="2"/>
        <v>45358</v>
      </c>
      <c r="L72">
        <f t="shared" si="3"/>
        <v>100</v>
      </c>
    </row>
    <row r="73" spans="1:12" hidden="1" x14ac:dyDescent="0.3">
      <c r="A73" s="1">
        <v>45359</v>
      </c>
      <c r="B73" s="1">
        <v>45361</v>
      </c>
      <c r="C73">
        <v>2188</v>
      </c>
      <c r="D73" t="s">
        <v>17</v>
      </c>
      <c r="E73" t="s">
        <v>18</v>
      </c>
      <c r="F73">
        <v>100</v>
      </c>
      <c r="I73" t="b">
        <v>0</v>
      </c>
      <c r="K73" s="1">
        <f t="shared" si="2"/>
        <v>45359</v>
      </c>
      <c r="L73">
        <f t="shared" si="3"/>
        <v>100</v>
      </c>
    </row>
    <row r="74" spans="1:12" hidden="1" x14ac:dyDescent="0.3">
      <c r="A74" s="1">
        <v>45360</v>
      </c>
      <c r="B74" s="1">
        <v>45362</v>
      </c>
      <c r="C74">
        <v>2188</v>
      </c>
      <c r="D74" t="s">
        <v>19</v>
      </c>
      <c r="E74" t="s">
        <v>7</v>
      </c>
      <c r="F74">
        <v>100</v>
      </c>
      <c r="I74" t="b">
        <v>0</v>
      </c>
      <c r="K74" s="1">
        <f t="shared" si="2"/>
        <v>45360</v>
      </c>
      <c r="L74">
        <f t="shared" si="3"/>
        <v>100</v>
      </c>
    </row>
    <row r="75" spans="1:12" hidden="1" x14ac:dyDescent="0.3">
      <c r="A75" s="1">
        <v>45361</v>
      </c>
      <c r="B75" s="1">
        <v>45363</v>
      </c>
      <c r="C75">
        <v>2188</v>
      </c>
      <c r="D75" t="s">
        <v>20</v>
      </c>
      <c r="E75" t="s">
        <v>12</v>
      </c>
      <c r="F75">
        <v>100</v>
      </c>
      <c r="I75" t="b">
        <v>0</v>
      </c>
      <c r="K75" s="1">
        <f t="shared" si="2"/>
        <v>45361</v>
      </c>
      <c r="L75">
        <f t="shared" si="3"/>
        <v>100</v>
      </c>
    </row>
    <row r="76" spans="1:12" hidden="1" x14ac:dyDescent="0.3">
      <c r="A76" s="1">
        <v>45362</v>
      </c>
      <c r="B76" s="1">
        <v>45364</v>
      </c>
      <c r="C76">
        <v>2188</v>
      </c>
      <c r="D76" t="s">
        <v>21</v>
      </c>
      <c r="E76" t="s">
        <v>22</v>
      </c>
      <c r="G76">
        <v>100</v>
      </c>
      <c r="I76" t="b">
        <v>0</v>
      </c>
      <c r="K76" s="1">
        <f t="shared" si="2"/>
        <v>45362</v>
      </c>
      <c r="L76">
        <f t="shared" si="3"/>
        <v>-100</v>
      </c>
    </row>
    <row r="77" spans="1:12" hidden="1" x14ac:dyDescent="0.3">
      <c r="A77" s="1">
        <v>45363</v>
      </c>
      <c r="B77" s="1">
        <v>45365</v>
      </c>
      <c r="C77">
        <v>2188</v>
      </c>
      <c r="D77" t="s">
        <v>23</v>
      </c>
      <c r="E77" t="s">
        <v>8</v>
      </c>
      <c r="F77">
        <v>100</v>
      </c>
      <c r="I77" t="b">
        <v>0</v>
      </c>
      <c r="K77" s="1">
        <f t="shared" si="2"/>
        <v>45363</v>
      </c>
      <c r="L77">
        <f t="shared" si="3"/>
        <v>100</v>
      </c>
    </row>
    <row r="78" spans="1:12" hidden="1" x14ac:dyDescent="0.3">
      <c r="A78" s="1">
        <v>45364</v>
      </c>
      <c r="B78" s="1">
        <v>45366</v>
      </c>
      <c r="C78">
        <v>2188</v>
      </c>
      <c r="D78" t="s">
        <v>24</v>
      </c>
      <c r="E78" t="s">
        <v>8</v>
      </c>
      <c r="F78">
        <v>100</v>
      </c>
      <c r="I78" t="b">
        <v>0</v>
      </c>
      <c r="K78" s="1">
        <f t="shared" si="2"/>
        <v>45364</v>
      </c>
      <c r="L78">
        <f t="shared" si="3"/>
        <v>100</v>
      </c>
    </row>
    <row r="79" spans="1:12" hidden="1" x14ac:dyDescent="0.3">
      <c r="A79" s="1">
        <v>45365</v>
      </c>
      <c r="B79" s="1">
        <v>45367</v>
      </c>
      <c r="C79">
        <v>2188</v>
      </c>
      <c r="D79" t="s">
        <v>25</v>
      </c>
      <c r="E79" t="s">
        <v>12</v>
      </c>
      <c r="F79">
        <v>100</v>
      </c>
      <c r="I79" t="b">
        <v>0</v>
      </c>
      <c r="K79" s="1">
        <f t="shared" si="2"/>
        <v>45365</v>
      </c>
      <c r="L79">
        <f t="shared" si="3"/>
        <v>100</v>
      </c>
    </row>
    <row r="80" spans="1:12" hidden="1" x14ac:dyDescent="0.3">
      <c r="A80" s="1">
        <v>45366</v>
      </c>
      <c r="B80" s="1">
        <v>45368</v>
      </c>
      <c r="C80">
        <v>2188</v>
      </c>
      <c r="D80" t="s">
        <v>26</v>
      </c>
      <c r="E80" t="s">
        <v>12</v>
      </c>
      <c r="F80">
        <v>100</v>
      </c>
      <c r="H80" t="b">
        <v>1</v>
      </c>
      <c r="I80" t="b">
        <v>0</v>
      </c>
      <c r="K80" s="1">
        <f t="shared" si="2"/>
        <v>45366</v>
      </c>
      <c r="L80">
        <f t="shared" si="3"/>
        <v>0</v>
      </c>
    </row>
    <row r="81" spans="1:12" hidden="1" x14ac:dyDescent="0.3">
      <c r="A81" s="1">
        <v>45367</v>
      </c>
      <c r="B81" s="1">
        <v>45369</v>
      </c>
      <c r="C81">
        <v>2188</v>
      </c>
      <c r="D81" t="s">
        <v>27</v>
      </c>
      <c r="E81" t="s">
        <v>12</v>
      </c>
      <c r="F81">
        <v>100</v>
      </c>
      <c r="I81" t="b">
        <v>0</v>
      </c>
      <c r="K81" s="1">
        <f t="shared" si="2"/>
        <v>45367</v>
      </c>
      <c r="L81">
        <f t="shared" si="3"/>
        <v>100</v>
      </c>
    </row>
    <row r="82" spans="1:12" hidden="1" x14ac:dyDescent="0.3">
      <c r="A82" s="1">
        <v>45368</v>
      </c>
      <c r="B82" s="1">
        <v>45370</v>
      </c>
      <c r="C82">
        <v>2188</v>
      </c>
      <c r="D82" t="s">
        <v>28</v>
      </c>
      <c r="E82" t="s">
        <v>12</v>
      </c>
      <c r="F82">
        <v>100</v>
      </c>
      <c r="I82" t="b">
        <v>0</v>
      </c>
      <c r="K82" s="1">
        <f t="shared" si="2"/>
        <v>45368</v>
      </c>
      <c r="L82">
        <f t="shared" si="3"/>
        <v>100</v>
      </c>
    </row>
    <row r="83" spans="1:12" hidden="1" x14ac:dyDescent="0.3">
      <c r="A83" s="1">
        <v>45369</v>
      </c>
      <c r="B83" s="1">
        <v>45371</v>
      </c>
      <c r="C83">
        <v>2188</v>
      </c>
      <c r="D83" t="s">
        <v>29</v>
      </c>
      <c r="E83" t="s">
        <v>12</v>
      </c>
      <c r="F83">
        <v>100</v>
      </c>
      <c r="I83" t="b">
        <v>0</v>
      </c>
      <c r="K83" s="1">
        <f t="shared" si="2"/>
        <v>45369</v>
      </c>
      <c r="L83">
        <f t="shared" si="3"/>
        <v>100</v>
      </c>
    </row>
    <row r="84" spans="1:12" hidden="1" x14ac:dyDescent="0.3">
      <c r="A84" s="1">
        <v>45370</v>
      </c>
      <c r="B84" s="1">
        <v>45372</v>
      </c>
      <c r="C84">
        <v>2188</v>
      </c>
      <c r="D84" t="s">
        <v>30</v>
      </c>
      <c r="E84" t="s">
        <v>12</v>
      </c>
      <c r="F84">
        <v>100</v>
      </c>
      <c r="I84" t="b">
        <v>0</v>
      </c>
      <c r="K84" s="1">
        <f t="shared" si="2"/>
        <v>45370</v>
      </c>
      <c r="L84">
        <f t="shared" si="3"/>
        <v>100</v>
      </c>
    </row>
    <row r="85" spans="1:12" hidden="1" x14ac:dyDescent="0.3">
      <c r="A85" s="1">
        <v>45371</v>
      </c>
      <c r="B85" s="1">
        <v>45373</v>
      </c>
      <c r="C85">
        <v>2188</v>
      </c>
      <c r="D85" t="s">
        <v>31</v>
      </c>
      <c r="E85" t="s">
        <v>12</v>
      </c>
      <c r="F85">
        <v>100</v>
      </c>
      <c r="I85" t="b">
        <v>0</v>
      </c>
      <c r="K85" s="1">
        <f t="shared" si="2"/>
        <v>45371</v>
      </c>
      <c r="L85">
        <f t="shared" si="3"/>
        <v>100</v>
      </c>
    </row>
    <row r="86" spans="1:12" hidden="1" x14ac:dyDescent="0.3">
      <c r="A86" s="1">
        <v>45372</v>
      </c>
      <c r="B86" s="1">
        <v>45374</v>
      </c>
      <c r="C86">
        <v>2188</v>
      </c>
      <c r="D86" t="s">
        <v>32</v>
      </c>
      <c r="E86" t="s">
        <v>12</v>
      </c>
      <c r="F86">
        <v>100</v>
      </c>
      <c r="I86" t="b">
        <v>0</v>
      </c>
      <c r="K86" s="1">
        <f t="shared" si="2"/>
        <v>45372</v>
      </c>
      <c r="L86">
        <f t="shared" si="3"/>
        <v>100</v>
      </c>
    </row>
    <row r="87" spans="1:12" hidden="1" x14ac:dyDescent="0.3">
      <c r="A87" s="1">
        <v>45373</v>
      </c>
      <c r="B87" s="1">
        <v>45375</v>
      </c>
      <c r="C87">
        <v>2188</v>
      </c>
      <c r="D87" t="s">
        <v>33</v>
      </c>
      <c r="E87" t="s">
        <v>12</v>
      </c>
      <c r="F87">
        <v>100</v>
      </c>
      <c r="I87" t="b">
        <v>0</v>
      </c>
      <c r="K87" s="1">
        <f t="shared" si="2"/>
        <v>45373</v>
      </c>
      <c r="L87">
        <f t="shared" si="3"/>
        <v>100</v>
      </c>
    </row>
    <row r="88" spans="1:12" hidden="1" x14ac:dyDescent="0.3">
      <c r="A88" s="1">
        <v>45374</v>
      </c>
      <c r="B88" s="1">
        <v>45376</v>
      </c>
      <c r="C88">
        <v>2188</v>
      </c>
      <c r="D88" t="s">
        <v>34</v>
      </c>
      <c r="E88" t="s">
        <v>12</v>
      </c>
      <c r="F88">
        <v>100</v>
      </c>
      <c r="I88" t="b">
        <v>0</v>
      </c>
      <c r="K88" s="1">
        <f t="shared" si="2"/>
        <v>45374</v>
      </c>
      <c r="L88">
        <f t="shared" si="3"/>
        <v>100</v>
      </c>
    </row>
    <row r="89" spans="1:12" hidden="1" x14ac:dyDescent="0.3">
      <c r="A89" s="1">
        <v>45375</v>
      </c>
      <c r="B89" s="1">
        <v>45377</v>
      </c>
      <c r="C89">
        <v>2188</v>
      </c>
      <c r="D89" t="s">
        <v>35</v>
      </c>
      <c r="E89" t="s">
        <v>12</v>
      </c>
      <c r="F89">
        <v>100</v>
      </c>
      <c r="I89" t="b">
        <v>0</v>
      </c>
      <c r="K89" s="1">
        <f t="shared" si="2"/>
        <v>45375</v>
      </c>
      <c r="L89">
        <f t="shared" si="3"/>
        <v>100</v>
      </c>
    </row>
    <row r="90" spans="1:12" hidden="1" x14ac:dyDescent="0.3">
      <c r="A90" s="1">
        <v>45376</v>
      </c>
      <c r="B90" s="1">
        <v>45378</v>
      </c>
      <c r="C90">
        <v>2188</v>
      </c>
      <c r="D90" t="s">
        <v>36</v>
      </c>
      <c r="E90" t="s">
        <v>37</v>
      </c>
      <c r="F90">
        <v>100</v>
      </c>
      <c r="I90" t="b">
        <v>0</v>
      </c>
      <c r="K90" s="1">
        <f t="shared" si="2"/>
        <v>45376</v>
      </c>
      <c r="L90">
        <f t="shared" si="3"/>
        <v>100</v>
      </c>
    </row>
    <row r="91" spans="1:12" hidden="1" x14ac:dyDescent="0.3">
      <c r="A91" s="1">
        <v>45377</v>
      </c>
      <c r="B91" s="1">
        <v>45379</v>
      </c>
      <c r="C91">
        <v>2188</v>
      </c>
      <c r="D91" t="s">
        <v>38</v>
      </c>
      <c r="E91" t="s">
        <v>12</v>
      </c>
      <c r="F91">
        <v>100</v>
      </c>
      <c r="I91" t="b">
        <v>0</v>
      </c>
      <c r="K91" s="1">
        <f t="shared" si="2"/>
        <v>45377</v>
      </c>
      <c r="L91">
        <f t="shared" si="3"/>
        <v>100</v>
      </c>
    </row>
    <row r="92" spans="1:12" hidden="1" x14ac:dyDescent="0.3">
      <c r="A92" s="1">
        <v>45378</v>
      </c>
      <c r="B92" s="1">
        <v>45380</v>
      </c>
      <c r="C92">
        <v>2188</v>
      </c>
      <c r="D92" t="s">
        <v>39</v>
      </c>
      <c r="E92" t="s">
        <v>8</v>
      </c>
      <c r="F92">
        <v>100</v>
      </c>
      <c r="I92" t="b">
        <v>0</v>
      </c>
      <c r="K92" s="1">
        <f t="shared" si="2"/>
        <v>45378</v>
      </c>
      <c r="L92">
        <f t="shared" si="3"/>
        <v>100</v>
      </c>
    </row>
    <row r="93" spans="1:12" hidden="1" x14ac:dyDescent="0.3">
      <c r="A93" s="1">
        <v>45379</v>
      </c>
      <c r="B93" s="1">
        <v>45381</v>
      </c>
      <c r="C93">
        <v>2188</v>
      </c>
      <c r="D93" t="s">
        <v>40</v>
      </c>
      <c r="E93" t="s">
        <v>41</v>
      </c>
      <c r="F93">
        <v>100</v>
      </c>
      <c r="I93" t="b">
        <v>0</v>
      </c>
      <c r="K93" s="1">
        <f t="shared" si="2"/>
        <v>45379</v>
      </c>
      <c r="L93">
        <f t="shared" si="3"/>
        <v>100</v>
      </c>
    </row>
    <row r="94" spans="1:12" hidden="1" x14ac:dyDescent="0.3">
      <c r="A94" s="1">
        <v>45380</v>
      </c>
      <c r="B94" s="1">
        <v>45382</v>
      </c>
      <c r="C94">
        <v>2188</v>
      </c>
      <c r="D94" t="s">
        <v>42</v>
      </c>
      <c r="E94" t="s">
        <v>41</v>
      </c>
      <c r="F94">
        <v>100</v>
      </c>
      <c r="I94" t="b">
        <v>0</v>
      </c>
      <c r="K94" s="1">
        <f t="shared" si="2"/>
        <v>45380</v>
      </c>
      <c r="L94">
        <f t="shared" si="3"/>
        <v>100</v>
      </c>
    </row>
    <row r="95" spans="1:12" x14ac:dyDescent="0.3">
      <c r="A95" s="1">
        <v>45381</v>
      </c>
      <c r="B95" s="1">
        <v>45383</v>
      </c>
      <c r="C95">
        <v>2188</v>
      </c>
      <c r="D95" t="s">
        <v>53</v>
      </c>
      <c r="E95" t="s">
        <v>7</v>
      </c>
      <c r="F95">
        <v>111</v>
      </c>
      <c r="I95" t="b">
        <v>0</v>
      </c>
      <c r="K95" s="1">
        <f t="shared" si="2"/>
        <v>45381</v>
      </c>
      <c r="L95">
        <f t="shared" si="3"/>
        <v>111</v>
      </c>
    </row>
    <row r="96" spans="1:12" hidden="1" x14ac:dyDescent="0.3">
      <c r="A96" s="1">
        <v>45382</v>
      </c>
      <c r="B96" s="1">
        <v>45384</v>
      </c>
      <c r="C96">
        <v>2188</v>
      </c>
      <c r="D96" t="s">
        <v>54</v>
      </c>
      <c r="E96" t="s">
        <v>8</v>
      </c>
      <c r="F96">
        <v>222</v>
      </c>
      <c r="I96" t="b">
        <v>0</v>
      </c>
      <c r="K96" s="1">
        <f t="shared" si="2"/>
        <v>45382</v>
      </c>
      <c r="L96">
        <f t="shared" si="3"/>
        <v>222</v>
      </c>
    </row>
    <row r="97" spans="1:12" hidden="1" x14ac:dyDescent="0.3">
      <c r="A97" s="1">
        <v>45383</v>
      </c>
      <c r="B97" s="1">
        <v>45385</v>
      </c>
      <c r="C97">
        <v>2188</v>
      </c>
      <c r="D97" t="s">
        <v>55</v>
      </c>
      <c r="E97" t="s">
        <v>9</v>
      </c>
      <c r="F97">
        <v>333</v>
      </c>
      <c r="I97" t="b">
        <v>0</v>
      </c>
      <c r="K97" s="1">
        <f t="shared" si="2"/>
        <v>45383</v>
      </c>
      <c r="L97">
        <f t="shared" si="3"/>
        <v>333</v>
      </c>
    </row>
    <row r="98" spans="1:12" hidden="1" x14ac:dyDescent="0.3">
      <c r="A98" s="1">
        <v>45384</v>
      </c>
      <c r="B98" s="1">
        <v>45386</v>
      </c>
      <c r="C98">
        <v>2188</v>
      </c>
      <c r="D98" t="s">
        <v>56</v>
      </c>
      <c r="E98" t="s">
        <v>8</v>
      </c>
      <c r="F98">
        <v>444</v>
      </c>
      <c r="I98" t="b">
        <v>0</v>
      </c>
      <c r="K98" s="1">
        <f t="shared" si="2"/>
        <v>45384</v>
      </c>
      <c r="L98">
        <f t="shared" si="3"/>
        <v>444</v>
      </c>
    </row>
    <row r="99" spans="1:12" hidden="1" x14ac:dyDescent="0.3">
      <c r="A99" s="1">
        <v>45385</v>
      </c>
      <c r="B99" s="1">
        <v>45387</v>
      </c>
      <c r="C99">
        <v>2188</v>
      </c>
      <c r="D99" t="s">
        <v>57</v>
      </c>
      <c r="E99" t="s">
        <v>10</v>
      </c>
      <c r="F99">
        <v>555</v>
      </c>
      <c r="I99" t="b">
        <v>0</v>
      </c>
      <c r="K99" s="1">
        <f t="shared" si="2"/>
        <v>45385</v>
      </c>
      <c r="L99">
        <f t="shared" si="3"/>
        <v>555</v>
      </c>
    </row>
    <row r="100" spans="1:12" hidden="1" x14ac:dyDescent="0.3">
      <c r="A100" s="1">
        <v>45386</v>
      </c>
      <c r="B100" s="1">
        <v>45388</v>
      </c>
      <c r="C100">
        <v>2188</v>
      </c>
      <c r="D100" t="s">
        <v>11</v>
      </c>
      <c r="E100" t="s">
        <v>12</v>
      </c>
      <c r="F100">
        <v>100</v>
      </c>
      <c r="I100" t="b">
        <v>0</v>
      </c>
      <c r="K100" s="1">
        <f t="shared" si="2"/>
        <v>45386</v>
      </c>
      <c r="L100">
        <f t="shared" si="3"/>
        <v>100</v>
      </c>
    </row>
    <row r="101" spans="1:12" hidden="1" x14ac:dyDescent="0.3">
      <c r="A101" s="1">
        <v>45387</v>
      </c>
      <c r="B101" s="1">
        <v>45389</v>
      </c>
      <c r="C101">
        <v>2188</v>
      </c>
      <c r="D101" t="s">
        <v>13</v>
      </c>
      <c r="E101" t="s">
        <v>8</v>
      </c>
      <c r="F101">
        <v>100</v>
      </c>
      <c r="I101" t="b">
        <v>0</v>
      </c>
      <c r="K101" s="1">
        <f t="shared" si="2"/>
        <v>45387</v>
      </c>
      <c r="L101">
        <f t="shared" si="3"/>
        <v>100</v>
      </c>
    </row>
    <row r="102" spans="1:12" hidden="1" x14ac:dyDescent="0.3">
      <c r="A102" s="1">
        <v>45388</v>
      </c>
      <c r="B102" s="1">
        <v>45390</v>
      </c>
      <c r="C102">
        <v>2188</v>
      </c>
      <c r="D102" t="s">
        <v>14</v>
      </c>
      <c r="E102" t="s">
        <v>12</v>
      </c>
      <c r="F102">
        <v>100</v>
      </c>
      <c r="I102" t="b">
        <v>0</v>
      </c>
      <c r="K102" s="1">
        <f t="shared" si="2"/>
        <v>45388</v>
      </c>
      <c r="L102">
        <f t="shared" si="3"/>
        <v>100</v>
      </c>
    </row>
    <row r="103" spans="1:12" hidden="1" x14ac:dyDescent="0.3">
      <c r="A103" s="1">
        <v>45389</v>
      </c>
      <c r="B103" s="1">
        <v>45391</v>
      </c>
      <c r="C103">
        <v>2188</v>
      </c>
      <c r="D103" t="s">
        <v>15</v>
      </c>
      <c r="E103" t="s">
        <v>16</v>
      </c>
      <c r="F103">
        <v>100</v>
      </c>
      <c r="I103" t="b">
        <v>0</v>
      </c>
      <c r="K103" s="1">
        <f t="shared" si="2"/>
        <v>45389</v>
      </c>
      <c r="L103">
        <f t="shared" si="3"/>
        <v>100</v>
      </c>
    </row>
    <row r="104" spans="1:12" hidden="1" x14ac:dyDescent="0.3">
      <c r="A104" s="1">
        <v>45390</v>
      </c>
      <c r="B104" s="1">
        <v>45392</v>
      </c>
      <c r="C104">
        <v>2188</v>
      </c>
      <c r="D104" t="s">
        <v>17</v>
      </c>
      <c r="E104" t="s">
        <v>18</v>
      </c>
      <c r="F104">
        <v>100</v>
      </c>
      <c r="I104" t="b">
        <v>0</v>
      </c>
      <c r="K104" s="1">
        <f t="shared" si="2"/>
        <v>45390</v>
      </c>
      <c r="L104">
        <f t="shared" si="3"/>
        <v>100</v>
      </c>
    </row>
    <row r="105" spans="1:12" hidden="1" x14ac:dyDescent="0.3">
      <c r="A105" s="1">
        <v>45391</v>
      </c>
      <c r="B105" s="1">
        <v>45393</v>
      </c>
      <c r="C105">
        <v>2188</v>
      </c>
      <c r="D105" t="s">
        <v>19</v>
      </c>
      <c r="E105" t="s">
        <v>7</v>
      </c>
      <c r="F105">
        <v>100</v>
      </c>
      <c r="I105" t="b">
        <v>0</v>
      </c>
      <c r="K105" s="1">
        <f t="shared" si="2"/>
        <v>45391</v>
      </c>
      <c r="L105">
        <f t="shared" si="3"/>
        <v>100</v>
      </c>
    </row>
    <row r="106" spans="1:12" hidden="1" x14ac:dyDescent="0.3">
      <c r="A106" s="1">
        <v>45392</v>
      </c>
      <c r="B106" s="1">
        <v>45394</v>
      </c>
      <c r="C106">
        <v>2188</v>
      </c>
      <c r="D106" t="s">
        <v>20</v>
      </c>
      <c r="E106" t="s">
        <v>12</v>
      </c>
      <c r="F106">
        <v>100</v>
      </c>
      <c r="I106" t="b">
        <v>0</v>
      </c>
      <c r="K106" s="1">
        <f t="shared" si="2"/>
        <v>45392</v>
      </c>
      <c r="L106">
        <f t="shared" si="3"/>
        <v>100</v>
      </c>
    </row>
    <row r="107" spans="1:12" hidden="1" x14ac:dyDescent="0.3">
      <c r="A107" s="1">
        <v>45393</v>
      </c>
      <c r="B107" s="1">
        <v>45395</v>
      </c>
      <c r="C107">
        <v>2188</v>
      </c>
      <c r="D107" t="s">
        <v>21</v>
      </c>
      <c r="E107" t="s">
        <v>22</v>
      </c>
      <c r="G107">
        <v>100</v>
      </c>
      <c r="I107" t="b">
        <v>0</v>
      </c>
      <c r="K107" s="1">
        <f t="shared" si="2"/>
        <v>45393</v>
      </c>
      <c r="L107">
        <f t="shared" si="3"/>
        <v>-100</v>
      </c>
    </row>
    <row r="108" spans="1:12" hidden="1" x14ac:dyDescent="0.3">
      <c r="A108" s="1">
        <v>45394</v>
      </c>
      <c r="B108" s="1">
        <v>45396</v>
      </c>
      <c r="C108">
        <v>2188</v>
      </c>
      <c r="D108" t="s">
        <v>23</v>
      </c>
      <c r="E108" t="s">
        <v>8</v>
      </c>
      <c r="F108">
        <v>100</v>
      </c>
      <c r="I108" t="b">
        <v>0</v>
      </c>
      <c r="K108" s="1">
        <f t="shared" si="2"/>
        <v>45394</v>
      </c>
      <c r="L108">
        <f t="shared" si="3"/>
        <v>100</v>
      </c>
    </row>
    <row r="109" spans="1:12" hidden="1" x14ac:dyDescent="0.3">
      <c r="A109" s="1">
        <v>45395</v>
      </c>
      <c r="B109" s="1">
        <v>45397</v>
      </c>
      <c r="C109">
        <v>2188</v>
      </c>
      <c r="D109" t="s">
        <v>24</v>
      </c>
      <c r="E109" t="s">
        <v>8</v>
      </c>
      <c r="F109">
        <v>100</v>
      </c>
      <c r="I109" t="b">
        <v>0</v>
      </c>
      <c r="K109" s="1">
        <f t="shared" si="2"/>
        <v>45395</v>
      </c>
      <c r="L109">
        <f t="shared" si="3"/>
        <v>100</v>
      </c>
    </row>
    <row r="110" spans="1:12" hidden="1" x14ac:dyDescent="0.3">
      <c r="A110" s="1">
        <v>45396</v>
      </c>
      <c r="B110" s="1">
        <v>45398</v>
      </c>
      <c r="C110">
        <v>2188</v>
      </c>
      <c r="D110" t="s">
        <v>25</v>
      </c>
      <c r="E110" t="s">
        <v>12</v>
      </c>
      <c r="F110">
        <v>100</v>
      </c>
      <c r="I110" t="b">
        <v>0</v>
      </c>
      <c r="K110" s="1">
        <f t="shared" si="2"/>
        <v>45396</v>
      </c>
      <c r="L110">
        <f t="shared" si="3"/>
        <v>100</v>
      </c>
    </row>
    <row r="111" spans="1:12" hidden="1" x14ac:dyDescent="0.3">
      <c r="A111" s="1">
        <v>45397</v>
      </c>
      <c r="B111" s="1">
        <v>45399</v>
      </c>
      <c r="C111">
        <v>2188</v>
      </c>
      <c r="D111" t="s">
        <v>26</v>
      </c>
      <c r="E111" t="s">
        <v>12</v>
      </c>
      <c r="F111">
        <v>100</v>
      </c>
      <c r="H111" t="b">
        <v>1</v>
      </c>
      <c r="I111" t="b">
        <v>0</v>
      </c>
      <c r="K111" s="1">
        <f t="shared" si="2"/>
        <v>45397</v>
      </c>
      <c r="L111">
        <f t="shared" si="3"/>
        <v>0</v>
      </c>
    </row>
    <row r="112" spans="1:12" hidden="1" x14ac:dyDescent="0.3">
      <c r="A112" s="1">
        <v>45398</v>
      </c>
      <c r="B112" s="1">
        <v>45400</v>
      </c>
      <c r="C112">
        <v>2188</v>
      </c>
      <c r="D112" t="s">
        <v>27</v>
      </c>
      <c r="E112" t="s">
        <v>12</v>
      </c>
      <c r="F112">
        <v>100</v>
      </c>
      <c r="I112" t="b">
        <v>0</v>
      </c>
      <c r="K112" s="1">
        <f t="shared" si="2"/>
        <v>45398</v>
      </c>
      <c r="L112">
        <f t="shared" si="3"/>
        <v>100</v>
      </c>
    </row>
    <row r="113" spans="1:12" hidden="1" x14ac:dyDescent="0.3">
      <c r="A113" s="1">
        <v>45399</v>
      </c>
      <c r="B113" s="1">
        <v>45401</v>
      </c>
      <c r="C113">
        <v>2188</v>
      </c>
      <c r="D113" t="s">
        <v>28</v>
      </c>
      <c r="E113" t="s">
        <v>12</v>
      </c>
      <c r="F113">
        <v>100</v>
      </c>
      <c r="I113" t="b">
        <v>0</v>
      </c>
      <c r="K113" s="1">
        <f t="shared" si="2"/>
        <v>45399</v>
      </c>
      <c r="L113">
        <f t="shared" si="3"/>
        <v>100</v>
      </c>
    </row>
    <row r="114" spans="1:12" hidden="1" x14ac:dyDescent="0.3">
      <c r="A114" s="1">
        <v>45400</v>
      </c>
      <c r="B114" s="1">
        <v>45402</v>
      </c>
      <c r="C114">
        <v>2188</v>
      </c>
      <c r="D114" t="s">
        <v>29</v>
      </c>
      <c r="E114" t="s">
        <v>12</v>
      </c>
      <c r="F114">
        <v>100</v>
      </c>
      <c r="I114" t="b">
        <v>0</v>
      </c>
      <c r="K114" s="1">
        <f t="shared" si="2"/>
        <v>45400</v>
      </c>
      <c r="L114">
        <f t="shared" si="3"/>
        <v>100</v>
      </c>
    </row>
    <row r="115" spans="1:12" hidden="1" x14ac:dyDescent="0.3">
      <c r="A115" s="1">
        <v>45401</v>
      </c>
      <c r="B115" s="1">
        <v>45403</v>
      </c>
      <c r="C115">
        <v>2188</v>
      </c>
      <c r="D115" t="s">
        <v>30</v>
      </c>
      <c r="E115" t="s">
        <v>12</v>
      </c>
      <c r="F115">
        <v>100</v>
      </c>
      <c r="I115" t="b">
        <v>0</v>
      </c>
      <c r="K115" s="1">
        <f t="shared" si="2"/>
        <v>45401</v>
      </c>
      <c r="L115">
        <f t="shared" si="3"/>
        <v>100</v>
      </c>
    </row>
    <row r="116" spans="1:12" hidden="1" x14ac:dyDescent="0.3">
      <c r="A116" s="1">
        <v>45402</v>
      </c>
      <c r="B116" s="1">
        <v>45404</v>
      </c>
      <c r="C116">
        <v>2188</v>
      </c>
      <c r="D116" t="s">
        <v>31</v>
      </c>
      <c r="E116" t="s">
        <v>12</v>
      </c>
      <c r="F116">
        <v>100</v>
      </c>
      <c r="I116" t="b">
        <v>0</v>
      </c>
      <c r="K116" s="1">
        <f t="shared" si="2"/>
        <v>45402</v>
      </c>
      <c r="L116">
        <f t="shared" si="3"/>
        <v>100</v>
      </c>
    </row>
    <row r="117" spans="1:12" hidden="1" x14ac:dyDescent="0.3">
      <c r="A117" s="1">
        <v>45403</v>
      </c>
      <c r="B117" s="1">
        <v>45405</v>
      </c>
      <c r="C117">
        <v>2188</v>
      </c>
      <c r="D117" t="s">
        <v>32</v>
      </c>
      <c r="E117" t="s">
        <v>12</v>
      </c>
      <c r="F117">
        <v>100</v>
      </c>
      <c r="I117" t="b">
        <v>0</v>
      </c>
      <c r="K117" s="1">
        <f t="shared" si="2"/>
        <v>45403</v>
      </c>
      <c r="L117">
        <f t="shared" si="3"/>
        <v>100</v>
      </c>
    </row>
    <row r="118" spans="1:12" hidden="1" x14ac:dyDescent="0.3">
      <c r="A118" s="1">
        <v>45404</v>
      </c>
      <c r="B118" s="1">
        <v>45406</v>
      </c>
      <c r="C118">
        <v>2188</v>
      </c>
      <c r="D118" t="s">
        <v>33</v>
      </c>
      <c r="E118" t="s">
        <v>12</v>
      </c>
      <c r="F118">
        <v>100</v>
      </c>
      <c r="I118" t="b">
        <v>0</v>
      </c>
      <c r="K118" s="1">
        <f t="shared" si="2"/>
        <v>45404</v>
      </c>
      <c r="L118">
        <f t="shared" si="3"/>
        <v>100</v>
      </c>
    </row>
    <row r="119" spans="1:12" hidden="1" x14ac:dyDescent="0.3">
      <c r="A119" s="1">
        <v>45405</v>
      </c>
      <c r="B119" s="1">
        <v>45407</v>
      </c>
      <c r="C119">
        <v>2188</v>
      </c>
      <c r="D119" t="s">
        <v>34</v>
      </c>
      <c r="E119" t="s">
        <v>12</v>
      </c>
      <c r="F119">
        <v>100</v>
      </c>
      <c r="I119" t="b">
        <v>0</v>
      </c>
      <c r="K119" s="1">
        <f t="shared" si="2"/>
        <v>45405</v>
      </c>
      <c r="L119">
        <f t="shared" si="3"/>
        <v>100</v>
      </c>
    </row>
    <row r="120" spans="1:12" hidden="1" x14ac:dyDescent="0.3">
      <c r="A120" s="1">
        <v>45406</v>
      </c>
      <c r="B120" s="1">
        <v>45408</v>
      </c>
      <c r="C120">
        <v>2188</v>
      </c>
      <c r="D120" t="s">
        <v>35</v>
      </c>
      <c r="E120" t="s">
        <v>12</v>
      </c>
      <c r="F120">
        <v>100</v>
      </c>
      <c r="I120" t="b">
        <v>0</v>
      </c>
      <c r="K120" s="1">
        <f t="shared" si="2"/>
        <v>45406</v>
      </c>
      <c r="L120">
        <f t="shared" si="3"/>
        <v>100</v>
      </c>
    </row>
    <row r="121" spans="1:12" hidden="1" x14ac:dyDescent="0.3">
      <c r="A121" s="1">
        <v>45407</v>
      </c>
      <c r="B121" s="1">
        <v>45409</v>
      </c>
      <c r="C121">
        <v>2188</v>
      </c>
      <c r="D121" t="s">
        <v>36</v>
      </c>
      <c r="E121" t="s">
        <v>37</v>
      </c>
      <c r="F121">
        <v>100</v>
      </c>
      <c r="I121" t="b">
        <v>0</v>
      </c>
      <c r="K121" s="1">
        <f t="shared" si="2"/>
        <v>45407</v>
      </c>
      <c r="L121">
        <f t="shared" si="3"/>
        <v>100</v>
      </c>
    </row>
    <row r="122" spans="1:12" hidden="1" x14ac:dyDescent="0.3">
      <c r="A122" s="1">
        <v>45408</v>
      </c>
      <c r="B122" s="1">
        <v>45410</v>
      </c>
      <c r="C122">
        <v>2188</v>
      </c>
      <c r="D122" t="s">
        <v>38</v>
      </c>
      <c r="E122" t="s">
        <v>12</v>
      </c>
      <c r="F122">
        <v>100</v>
      </c>
      <c r="I122" t="b">
        <v>0</v>
      </c>
      <c r="K122" s="1">
        <f t="shared" si="2"/>
        <v>45408</v>
      </c>
      <c r="L122">
        <f t="shared" si="3"/>
        <v>100</v>
      </c>
    </row>
    <row r="123" spans="1:12" hidden="1" x14ac:dyDescent="0.3">
      <c r="A123" s="1">
        <v>45409</v>
      </c>
      <c r="B123" s="1">
        <v>45411</v>
      </c>
      <c r="C123">
        <v>2188</v>
      </c>
      <c r="D123" t="s">
        <v>39</v>
      </c>
      <c r="E123" t="s">
        <v>8</v>
      </c>
      <c r="F123">
        <v>100</v>
      </c>
      <c r="I123" t="b">
        <v>0</v>
      </c>
      <c r="K123" s="1">
        <f t="shared" si="2"/>
        <v>45409</v>
      </c>
      <c r="L123">
        <f t="shared" si="3"/>
        <v>100</v>
      </c>
    </row>
    <row r="124" spans="1:12" hidden="1" x14ac:dyDescent="0.3">
      <c r="A124" s="1">
        <v>45410</v>
      </c>
      <c r="B124" s="1">
        <v>45412</v>
      </c>
      <c r="C124">
        <v>2188</v>
      </c>
      <c r="D124" t="s">
        <v>40</v>
      </c>
      <c r="E124" t="s">
        <v>41</v>
      </c>
      <c r="F124">
        <v>100</v>
      </c>
      <c r="I124" t="b">
        <v>0</v>
      </c>
      <c r="K124" s="1">
        <f t="shared" si="2"/>
        <v>45410</v>
      </c>
      <c r="L124">
        <f t="shared" si="3"/>
        <v>100</v>
      </c>
    </row>
    <row r="125" spans="1:12" hidden="1" x14ac:dyDescent="0.3">
      <c r="A125" s="1">
        <v>45411</v>
      </c>
      <c r="B125" s="1">
        <v>45412</v>
      </c>
      <c r="C125">
        <v>2188</v>
      </c>
      <c r="D125" t="s">
        <v>42</v>
      </c>
      <c r="E125" t="s">
        <v>41</v>
      </c>
      <c r="F125">
        <v>100</v>
      </c>
      <c r="I125" t="b">
        <v>0</v>
      </c>
      <c r="K125" s="1">
        <f t="shared" si="2"/>
        <v>45411</v>
      </c>
      <c r="L125">
        <f t="shared" si="3"/>
        <v>100</v>
      </c>
    </row>
  </sheetData>
  <autoFilter ref="A1:L125" xr:uid="{00000000-0001-0000-0000-000000000000}">
    <filterColumn colId="3">
      <filters>
        <filter val="Apples 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C5E4-CC24-40E3-A1A2-E33718B76FFE}">
  <sheetPr filterMode="1"/>
  <dimension ref="A1:N125"/>
  <sheetViews>
    <sheetView topLeftCell="C1" workbookViewId="0">
      <selection activeCell="E1" sqref="E1"/>
    </sheetView>
  </sheetViews>
  <sheetFormatPr defaultRowHeight="14.4" x14ac:dyDescent="0.3"/>
  <cols>
    <col min="1" max="1" width="15" style="1" bestFit="1" customWidth="1"/>
    <col min="2" max="2" width="10.88671875" style="1" bestFit="1" customWidth="1"/>
    <col min="3" max="3" width="8.21875" bestFit="1" customWidth="1"/>
    <col min="4" max="4" width="23.44140625" customWidth="1"/>
    <col min="5" max="5" width="18.21875" bestFit="1" customWidth="1"/>
    <col min="6" max="6" width="5.33203125" bestFit="1" customWidth="1"/>
    <col min="7" max="7" width="5.88671875" bestFit="1" customWidth="1"/>
    <col min="8" max="8" width="5.88671875" customWidth="1"/>
    <col min="9" max="9" width="11.88671875" bestFit="1" customWidth="1"/>
    <col min="11" max="11" width="9.5546875" bestFit="1" customWidth="1"/>
    <col min="12" max="12" width="17" bestFit="1" customWidth="1"/>
  </cols>
  <sheetData>
    <row r="1" spans="1:14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64</v>
      </c>
      <c r="I1" s="9" t="s">
        <v>50</v>
      </c>
      <c r="J1" s="9" t="s">
        <v>51</v>
      </c>
      <c r="K1" s="9" t="s">
        <v>52</v>
      </c>
      <c r="L1" s="9" t="s">
        <v>59</v>
      </c>
    </row>
    <row r="2" spans="1:14" x14ac:dyDescent="0.3">
      <c r="A2" s="1">
        <v>45292</v>
      </c>
      <c r="B2" s="1">
        <v>45292</v>
      </c>
      <c r="C2">
        <v>2188</v>
      </c>
      <c r="D2" t="s">
        <v>53</v>
      </c>
      <c r="E2" t="s">
        <v>7</v>
      </c>
      <c r="F2">
        <v>111</v>
      </c>
      <c r="I2" t="b">
        <v>0</v>
      </c>
      <c r="K2" s="1">
        <f>IF(I2=FALSE, IF(A2&lt;B2,A2,B2), J2)</f>
        <v>45292</v>
      </c>
      <c r="L2">
        <f>IF(H2=FALSE,F2-G2,0)</f>
        <v>111</v>
      </c>
      <c r="N2">
        <f>COUNTA(A2:A125)</f>
        <v>124</v>
      </c>
    </row>
    <row r="3" spans="1:14" hidden="1" x14ac:dyDescent="0.3">
      <c r="A3" s="1">
        <v>45293</v>
      </c>
      <c r="B3" s="1">
        <v>45293</v>
      </c>
      <c r="C3">
        <v>2188</v>
      </c>
      <c r="D3" t="s">
        <v>54</v>
      </c>
      <c r="E3" t="s">
        <v>8</v>
      </c>
      <c r="F3">
        <v>222</v>
      </c>
      <c r="I3" t="b">
        <v>0</v>
      </c>
      <c r="K3" s="1">
        <f t="shared" ref="K3:K66" si="0">IF(I3=FALSE, IF(A3&lt;B3,A3,B3), J3)</f>
        <v>45293</v>
      </c>
      <c r="L3">
        <f t="shared" ref="L3:L66" si="1">IF(H3=FALSE,F3-G3,0)</f>
        <v>222</v>
      </c>
    </row>
    <row r="4" spans="1:14" hidden="1" x14ac:dyDescent="0.3">
      <c r="A4" s="1">
        <v>45294</v>
      </c>
      <c r="B4" s="1">
        <v>45294</v>
      </c>
      <c r="C4">
        <v>2188</v>
      </c>
      <c r="D4" t="s">
        <v>55</v>
      </c>
      <c r="E4" t="s">
        <v>9</v>
      </c>
      <c r="F4">
        <v>333</v>
      </c>
      <c r="I4" t="b">
        <v>0</v>
      </c>
      <c r="K4" s="1">
        <f t="shared" si="0"/>
        <v>45294</v>
      </c>
      <c r="L4">
        <f t="shared" si="1"/>
        <v>333</v>
      </c>
    </row>
    <row r="5" spans="1:14" hidden="1" x14ac:dyDescent="0.3">
      <c r="A5" s="1">
        <v>45295</v>
      </c>
      <c r="B5" s="1">
        <v>45295</v>
      </c>
      <c r="C5">
        <v>2188</v>
      </c>
      <c r="D5" t="s">
        <v>56</v>
      </c>
      <c r="E5" t="s">
        <v>8</v>
      </c>
      <c r="F5">
        <v>444</v>
      </c>
      <c r="I5" t="b">
        <v>0</v>
      </c>
      <c r="K5" s="1">
        <f t="shared" si="0"/>
        <v>45295</v>
      </c>
      <c r="L5">
        <f t="shared" si="1"/>
        <v>444</v>
      </c>
    </row>
    <row r="6" spans="1:14" hidden="1" x14ac:dyDescent="0.3">
      <c r="A6" s="1">
        <v>45296</v>
      </c>
      <c r="B6" s="1">
        <v>45296</v>
      </c>
      <c r="C6">
        <v>2188</v>
      </c>
      <c r="D6" t="s">
        <v>57</v>
      </c>
      <c r="E6" t="s">
        <v>10</v>
      </c>
      <c r="F6">
        <v>555</v>
      </c>
      <c r="I6" t="b">
        <v>0</v>
      </c>
      <c r="K6" s="1">
        <f t="shared" si="0"/>
        <v>45296</v>
      </c>
      <c r="L6">
        <f t="shared" si="1"/>
        <v>555</v>
      </c>
    </row>
    <row r="7" spans="1:14" hidden="1" x14ac:dyDescent="0.3">
      <c r="A7" s="1">
        <v>45297</v>
      </c>
      <c r="B7" s="1">
        <v>45297</v>
      </c>
      <c r="C7">
        <v>2188</v>
      </c>
      <c r="D7" t="s">
        <v>11</v>
      </c>
      <c r="E7" t="s">
        <v>12</v>
      </c>
      <c r="F7">
        <v>100</v>
      </c>
      <c r="I7" t="b">
        <v>0</v>
      </c>
      <c r="K7" s="1">
        <f t="shared" si="0"/>
        <v>45297</v>
      </c>
      <c r="L7">
        <f t="shared" si="1"/>
        <v>100</v>
      </c>
    </row>
    <row r="8" spans="1:14" hidden="1" x14ac:dyDescent="0.3">
      <c r="A8" s="1">
        <v>45298</v>
      </c>
      <c r="B8" s="1">
        <v>45298</v>
      </c>
      <c r="C8">
        <v>2188</v>
      </c>
      <c r="D8" t="s">
        <v>13</v>
      </c>
      <c r="E8" t="s">
        <v>8</v>
      </c>
      <c r="F8">
        <v>100</v>
      </c>
      <c r="I8" t="b">
        <v>0</v>
      </c>
      <c r="K8" s="1">
        <f t="shared" si="0"/>
        <v>45298</v>
      </c>
      <c r="L8">
        <f t="shared" si="1"/>
        <v>100</v>
      </c>
    </row>
    <row r="9" spans="1:14" hidden="1" x14ac:dyDescent="0.3">
      <c r="A9" s="1">
        <v>45299</v>
      </c>
      <c r="B9" s="1">
        <v>45299</v>
      </c>
      <c r="C9">
        <v>2188</v>
      </c>
      <c r="D9" t="s">
        <v>14</v>
      </c>
      <c r="E9" t="s">
        <v>12</v>
      </c>
      <c r="F9">
        <v>100</v>
      </c>
      <c r="I9" t="b">
        <v>0</v>
      </c>
      <c r="K9" s="1">
        <f t="shared" si="0"/>
        <v>45299</v>
      </c>
      <c r="L9">
        <f t="shared" si="1"/>
        <v>100</v>
      </c>
    </row>
    <row r="10" spans="1:14" hidden="1" x14ac:dyDescent="0.3">
      <c r="A10" s="1">
        <v>45300</v>
      </c>
      <c r="B10" s="1">
        <v>45300</v>
      </c>
      <c r="C10">
        <v>2188</v>
      </c>
      <c r="D10" t="s">
        <v>15</v>
      </c>
      <c r="E10" t="s">
        <v>16</v>
      </c>
      <c r="F10">
        <v>100</v>
      </c>
      <c r="I10" t="b">
        <v>0</v>
      </c>
      <c r="K10" s="1">
        <f t="shared" si="0"/>
        <v>45300</v>
      </c>
      <c r="L10">
        <f t="shared" si="1"/>
        <v>100</v>
      </c>
    </row>
    <row r="11" spans="1:14" hidden="1" x14ac:dyDescent="0.3">
      <c r="A11" s="1">
        <v>45301</v>
      </c>
      <c r="B11" s="1">
        <v>45301</v>
      </c>
      <c r="C11">
        <v>2188</v>
      </c>
      <c r="D11" t="s">
        <v>17</v>
      </c>
      <c r="E11" t="s">
        <v>18</v>
      </c>
      <c r="F11">
        <v>100</v>
      </c>
      <c r="I11" t="b">
        <v>0</v>
      </c>
      <c r="K11" s="1">
        <f t="shared" si="0"/>
        <v>45301</v>
      </c>
      <c r="L11">
        <f t="shared" si="1"/>
        <v>100</v>
      </c>
    </row>
    <row r="12" spans="1:14" hidden="1" x14ac:dyDescent="0.3">
      <c r="A12" s="1">
        <v>45302</v>
      </c>
      <c r="B12" s="1">
        <v>45302</v>
      </c>
      <c r="C12">
        <v>2188</v>
      </c>
      <c r="D12" t="s">
        <v>19</v>
      </c>
      <c r="E12" t="s">
        <v>7</v>
      </c>
      <c r="F12">
        <v>100</v>
      </c>
      <c r="I12" t="b">
        <v>0</v>
      </c>
      <c r="K12" s="1">
        <f t="shared" si="0"/>
        <v>45302</v>
      </c>
      <c r="L12">
        <f t="shared" si="1"/>
        <v>100</v>
      </c>
    </row>
    <row r="13" spans="1:14" hidden="1" x14ac:dyDescent="0.3">
      <c r="A13" s="1">
        <v>45303</v>
      </c>
      <c r="B13" s="1">
        <v>45303</v>
      </c>
      <c r="C13">
        <v>2188</v>
      </c>
      <c r="D13" t="s">
        <v>20</v>
      </c>
      <c r="E13" t="s">
        <v>12</v>
      </c>
      <c r="F13">
        <v>100</v>
      </c>
      <c r="I13" t="b">
        <v>0</v>
      </c>
      <c r="K13" s="1">
        <f t="shared" si="0"/>
        <v>45303</v>
      </c>
      <c r="L13">
        <f t="shared" si="1"/>
        <v>100</v>
      </c>
    </row>
    <row r="14" spans="1:14" hidden="1" x14ac:dyDescent="0.3">
      <c r="A14" s="1">
        <v>45304</v>
      </c>
      <c r="B14" s="1">
        <v>45304</v>
      </c>
      <c r="C14">
        <v>2188</v>
      </c>
      <c r="D14" t="s">
        <v>21</v>
      </c>
      <c r="E14" t="s">
        <v>22</v>
      </c>
      <c r="G14">
        <v>100</v>
      </c>
      <c r="I14" t="b">
        <v>0</v>
      </c>
      <c r="K14" s="1">
        <f t="shared" si="0"/>
        <v>45304</v>
      </c>
      <c r="L14">
        <f t="shared" si="1"/>
        <v>-100</v>
      </c>
    </row>
    <row r="15" spans="1:14" hidden="1" x14ac:dyDescent="0.3">
      <c r="A15" s="1">
        <v>45305</v>
      </c>
      <c r="B15" s="1">
        <v>45305</v>
      </c>
      <c r="C15">
        <v>2188</v>
      </c>
      <c r="D15" t="s">
        <v>23</v>
      </c>
      <c r="E15" t="s">
        <v>8</v>
      </c>
      <c r="F15">
        <v>100</v>
      </c>
      <c r="I15" t="b">
        <v>0</v>
      </c>
      <c r="K15" s="1">
        <f t="shared" si="0"/>
        <v>45305</v>
      </c>
      <c r="L15">
        <f t="shared" si="1"/>
        <v>100</v>
      </c>
    </row>
    <row r="16" spans="1:14" hidden="1" x14ac:dyDescent="0.3">
      <c r="A16" s="1">
        <v>45306</v>
      </c>
      <c r="B16" s="1">
        <v>45306</v>
      </c>
      <c r="C16">
        <v>2188</v>
      </c>
      <c r="D16" t="s">
        <v>24</v>
      </c>
      <c r="E16" t="s">
        <v>8</v>
      </c>
      <c r="F16">
        <v>100</v>
      </c>
      <c r="I16" t="b">
        <v>0</v>
      </c>
      <c r="K16" s="1">
        <f t="shared" si="0"/>
        <v>45306</v>
      </c>
      <c r="L16">
        <f t="shared" si="1"/>
        <v>100</v>
      </c>
    </row>
    <row r="17" spans="1:12" hidden="1" x14ac:dyDescent="0.3">
      <c r="A17" s="1">
        <v>45307</v>
      </c>
      <c r="B17" s="1">
        <v>45307</v>
      </c>
      <c r="C17">
        <v>2188</v>
      </c>
      <c r="D17" t="s">
        <v>25</v>
      </c>
      <c r="E17" t="s">
        <v>12</v>
      </c>
      <c r="F17">
        <v>100</v>
      </c>
      <c r="I17" t="b">
        <v>0</v>
      </c>
      <c r="K17" s="1">
        <f t="shared" si="0"/>
        <v>45307</v>
      </c>
      <c r="L17">
        <f t="shared" si="1"/>
        <v>100</v>
      </c>
    </row>
    <row r="18" spans="1:12" hidden="1" x14ac:dyDescent="0.3">
      <c r="A18" s="1">
        <v>45308</v>
      </c>
      <c r="B18" s="1">
        <v>45308</v>
      </c>
      <c r="C18">
        <v>2188</v>
      </c>
      <c r="D18" t="s">
        <v>26</v>
      </c>
      <c r="E18" t="s">
        <v>12</v>
      </c>
      <c r="F18">
        <v>100</v>
      </c>
      <c r="H18" t="b">
        <v>1</v>
      </c>
      <c r="I18" t="b">
        <v>0</v>
      </c>
      <c r="K18" s="1">
        <f t="shared" si="0"/>
        <v>45308</v>
      </c>
      <c r="L18">
        <f t="shared" si="1"/>
        <v>0</v>
      </c>
    </row>
    <row r="19" spans="1:12" hidden="1" x14ac:dyDescent="0.3">
      <c r="A19" s="1">
        <v>45309</v>
      </c>
      <c r="B19" s="1">
        <v>45309</v>
      </c>
      <c r="C19">
        <v>2188</v>
      </c>
      <c r="D19" t="s">
        <v>27</v>
      </c>
      <c r="E19" t="s">
        <v>12</v>
      </c>
      <c r="F19">
        <v>100</v>
      </c>
      <c r="I19" t="b">
        <v>0</v>
      </c>
      <c r="K19" s="1">
        <f t="shared" si="0"/>
        <v>45309</v>
      </c>
      <c r="L19">
        <f t="shared" si="1"/>
        <v>100</v>
      </c>
    </row>
    <row r="20" spans="1:12" hidden="1" x14ac:dyDescent="0.3">
      <c r="A20" s="1">
        <v>45310</v>
      </c>
      <c r="B20" s="1">
        <v>45310</v>
      </c>
      <c r="C20">
        <v>2188</v>
      </c>
      <c r="D20" t="s">
        <v>28</v>
      </c>
      <c r="E20" t="s">
        <v>12</v>
      </c>
      <c r="F20">
        <v>100</v>
      </c>
      <c r="I20" t="b">
        <v>0</v>
      </c>
      <c r="K20" s="1">
        <f t="shared" si="0"/>
        <v>45310</v>
      </c>
      <c r="L20">
        <f t="shared" si="1"/>
        <v>100</v>
      </c>
    </row>
    <row r="21" spans="1:12" hidden="1" x14ac:dyDescent="0.3">
      <c r="A21" s="1">
        <v>45311</v>
      </c>
      <c r="B21" s="1">
        <v>45311</v>
      </c>
      <c r="C21">
        <v>2188</v>
      </c>
      <c r="D21" t="s">
        <v>29</v>
      </c>
      <c r="E21" t="s">
        <v>12</v>
      </c>
      <c r="F21">
        <v>100</v>
      </c>
      <c r="I21" t="b">
        <v>0</v>
      </c>
      <c r="K21" s="1">
        <f t="shared" si="0"/>
        <v>45311</v>
      </c>
      <c r="L21">
        <f t="shared" si="1"/>
        <v>100</v>
      </c>
    </row>
    <row r="22" spans="1:12" hidden="1" x14ac:dyDescent="0.3">
      <c r="A22" s="1">
        <v>45312</v>
      </c>
      <c r="B22" s="1">
        <v>45312</v>
      </c>
      <c r="C22">
        <v>2188</v>
      </c>
      <c r="D22" t="s">
        <v>30</v>
      </c>
      <c r="E22" t="s">
        <v>12</v>
      </c>
      <c r="F22">
        <v>100</v>
      </c>
      <c r="I22" t="b">
        <v>0</v>
      </c>
      <c r="K22" s="1">
        <f t="shared" si="0"/>
        <v>45312</v>
      </c>
      <c r="L22">
        <f t="shared" si="1"/>
        <v>100</v>
      </c>
    </row>
    <row r="23" spans="1:12" hidden="1" x14ac:dyDescent="0.3">
      <c r="A23" s="1">
        <v>45313</v>
      </c>
      <c r="B23" s="1">
        <v>45313</v>
      </c>
      <c r="C23">
        <v>2188</v>
      </c>
      <c r="D23" t="s">
        <v>31</v>
      </c>
      <c r="E23" t="s">
        <v>12</v>
      </c>
      <c r="F23">
        <v>100</v>
      </c>
      <c r="I23" t="b">
        <v>0</v>
      </c>
      <c r="K23" s="1">
        <f t="shared" si="0"/>
        <v>45313</v>
      </c>
      <c r="L23">
        <f t="shared" si="1"/>
        <v>100</v>
      </c>
    </row>
    <row r="24" spans="1:12" hidden="1" x14ac:dyDescent="0.3">
      <c r="A24" s="1">
        <v>45314</v>
      </c>
      <c r="B24" s="1">
        <v>45314</v>
      </c>
      <c r="C24">
        <v>2188</v>
      </c>
      <c r="D24" t="s">
        <v>32</v>
      </c>
      <c r="E24" t="s">
        <v>12</v>
      </c>
      <c r="F24">
        <v>100</v>
      </c>
      <c r="I24" t="b">
        <v>0</v>
      </c>
      <c r="K24" s="1">
        <f t="shared" si="0"/>
        <v>45314</v>
      </c>
      <c r="L24">
        <f t="shared" si="1"/>
        <v>100</v>
      </c>
    </row>
    <row r="25" spans="1:12" hidden="1" x14ac:dyDescent="0.3">
      <c r="A25" s="1">
        <v>45315</v>
      </c>
      <c r="B25" s="1">
        <v>45315</v>
      </c>
      <c r="C25">
        <v>2188</v>
      </c>
      <c r="D25" t="s">
        <v>33</v>
      </c>
      <c r="E25" t="s">
        <v>12</v>
      </c>
      <c r="F25">
        <v>100</v>
      </c>
      <c r="I25" t="b">
        <v>0</v>
      </c>
      <c r="K25" s="1">
        <f t="shared" si="0"/>
        <v>45315</v>
      </c>
      <c r="L25">
        <f t="shared" si="1"/>
        <v>100</v>
      </c>
    </row>
    <row r="26" spans="1:12" hidden="1" x14ac:dyDescent="0.3">
      <c r="A26" s="1">
        <v>45316</v>
      </c>
      <c r="B26" s="1">
        <v>45316</v>
      </c>
      <c r="C26">
        <v>2188</v>
      </c>
      <c r="D26" t="s">
        <v>34</v>
      </c>
      <c r="E26" t="s">
        <v>12</v>
      </c>
      <c r="F26">
        <v>100</v>
      </c>
      <c r="I26" t="b">
        <v>0</v>
      </c>
      <c r="K26" s="1">
        <f t="shared" si="0"/>
        <v>45316</v>
      </c>
      <c r="L26">
        <f t="shared" si="1"/>
        <v>100</v>
      </c>
    </row>
    <row r="27" spans="1:12" hidden="1" x14ac:dyDescent="0.3">
      <c r="A27" s="1">
        <v>45317</v>
      </c>
      <c r="B27" s="1">
        <v>45317</v>
      </c>
      <c r="C27">
        <v>2188</v>
      </c>
      <c r="D27" t="s">
        <v>35</v>
      </c>
      <c r="E27" t="s">
        <v>12</v>
      </c>
      <c r="F27">
        <v>100</v>
      </c>
      <c r="I27" t="b">
        <v>0</v>
      </c>
      <c r="K27" s="1">
        <f t="shared" si="0"/>
        <v>45317</v>
      </c>
      <c r="L27">
        <f t="shared" si="1"/>
        <v>100</v>
      </c>
    </row>
    <row r="28" spans="1:12" hidden="1" x14ac:dyDescent="0.3">
      <c r="A28" s="1">
        <v>45318</v>
      </c>
      <c r="B28" s="1">
        <v>45318</v>
      </c>
      <c r="C28">
        <v>2188</v>
      </c>
      <c r="D28" t="s">
        <v>36</v>
      </c>
      <c r="E28" t="s">
        <v>37</v>
      </c>
      <c r="F28">
        <v>100</v>
      </c>
      <c r="I28" t="b">
        <v>0</v>
      </c>
      <c r="K28" s="1">
        <f t="shared" si="0"/>
        <v>45318</v>
      </c>
      <c r="L28">
        <f t="shared" si="1"/>
        <v>100</v>
      </c>
    </row>
    <row r="29" spans="1:12" hidden="1" x14ac:dyDescent="0.3">
      <c r="A29" s="1">
        <v>45319</v>
      </c>
      <c r="B29" s="1">
        <v>45319</v>
      </c>
      <c r="C29">
        <v>2188</v>
      </c>
      <c r="D29" t="s">
        <v>38</v>
      </c>
      <c r="E29" t="s">
        <v>12</v>
      </c>
      <c r="F29">
        <v>100</v>
      </c>
      <c r="I29" t="b">
        <v>0</v>
      </c>
      <c r="K29" s="1">
        <f t="shared" si="0"/>
        <v>45319</v>
      </c>
      <c r="L29">
        <f t="shared" si="1"/>
        <v>100</v>
      </c>
    </row>
    <row r="30" spans="1:12" hidden="1" x14ac:dyDescent="0.3">
      <c r="A30" s="1">
        <v>45320</v>
      </c>
      <c r="B30" s="1">
        <v>45320</v>
      </c>
      <c r="C30">
        <v>2188</v>
      </c>
      <c r="D30" t="s">
        <v>39</v>
      </c>
      <c r="E30" t="s">
        <v>8</v>
      </c>
      <c r="F30">
        <v>100</v>
      </c>
      <c r="I30" t="b">
        <v>0</v>
      </c>
      <c r="K30" s="1">
        <f t="shared" si="0"/>
        <v>45320</v>
      </c>
      <c r="L30">
        <f t="shared" si="1"/>
        <v>100</v>
      </c>
    </row>
    <row r="31" spans="1:12" hidden="1" x14ac:dyDescent="0.3">
      <c r="A31" s="1">
        <v>45321</v>
      </c>
      <c r="B31" s="1">
        <v>45321</v>
      </c>
      <c r="C31">
        <v>2188</v>
      </c>
      <c r="D31" t="s">
        <v>40</v>
      </c>
      <c r="E31" t="s">
        <v>41</v>
      </c>
      <c r="F31">
        <v>100</v>
      </c>
      <c r="I31" t="b">
        <v>0</v>
      </c>
      <c r="K31" s="1">
        <f t="shared" si="0"/>
        <v>45321</v>
      </c>
      <c r="L31">
        <f t="shared" si="1"/>
        <v>100</v>
      </c>
    </row>
    <row r="32" spans="1:12" hidden="1" x14ac:dyDescent="0.3">
      <c r="A32" s="1">
        <v>45322</v>
      </c>
      <c r="B32" s="1">
        <v>45322</v>
      </c>
      <c r="C32">
        <v>2188</v>
      </c>
      <c r="D32" t="s">
        <v>42</v>
      </c>
      <c r="E32" t="s">
        <v>41</v>
      </c>
      <c r="F32">
        <v>100</v>
      </c>
      <c r="I32" t="b">
        <v>0</v>
      </c>
      <c r="K32" s="1">
        <f t="shared" si="0"/>
        <v>45322</v>
      </c>
      <c r="L32">
        <f t="shared" si="1"/>
        <v>100</v>
      </c>
    </row>
    <row r="33" spans="1:12" x14ac:dyDescent="0.3">
      <c r="A33" s="1">
        <v>45321</v>
      </c>
      <c r="B33" s="1">
        <v>45323</v>
      </c>
      <c r="C33">
        <v>2188</v>
      </c>
      <c r="D33" t="s">
        <v>53</v>
      </c>
      <c r="E33" t="s">
        <v>7</v>
      </c>
      <c r="F33">
        <v>111</v>
      </c>
      <c r="I33" t="b">
        <v>0</v>
      </c>
      <c r="K33" s="1">
        <f t="shared" si="0"/>
        <v>45321</v>
      </c>
      <c r="L33">
        <f t="shared" si="1"/>
        <v>111</v>
      </c>
    </row>
    <row r="34" spans="1:12" hidden="1" x14ac:dyDescent="0.3">
      <c r="A34" s="1">
        <v>45322</v>
      </c>
      <c r="B34" s="1">
        <v>45324</v>
      </c>
      <c r="C34">
        <v>2188</v>
      </c>
      <c r="D34" t="s">
        <v>54</v>
      </c>
      <c r="E34" t="s">
        <v>8</v>
      </c>
      <c r="F34">
        <v>222</v>
      </c>
      <c r="I34" t="b">
        <v>0</v>
      </c>
      <c r="K34" s="1">
        <f t="shared" si="0"/>
        <v>45322</v>
      </c>
      <c r="L34">
        <f t="shared" si="1"/>
        <v>222</v>
      </c>
    </row>
    <row r="35" spans="1:12" hidden="1" x14ac:dyDescent="0.3">
      <c r="A35" s="1">
        <v>45323</v>
      </c>
      <c r="B35" s="1">
        <v>45325</v>
      </c>
      <c r="C35">
        <v>2188</v>
      </c>
      <c r="D35" t="s">
        <v>55</v>
      </c>
      <c r="E35" t="s">
        <v>9</v>
      </c>
      <c r="F35">
        <v>333</v>
      </c>
      <c r="I35" t="b">
        <v>0</v>
      </c>
      <c r="K35" s="1">
        <f t="shared" si="0"/>
        <v>45323</v>
      </c>
      <c r="L35">
        <f t="shared" si="1"/>
        <v>333</v>
      </c>
    </row>
    <row r="36" spans="1:12" hidden="1" x14ac:dyDescent="0.3">
      <c r="A36" s="1">
        <v>45324</v>
      </c>
      <c r="B36" s="1">
        <v>45326</v>
      </c>
      <c r="C36">
        <v>2188</v>
      </c>
      <c r="D36" t="s">
        <v>56</v>
      </c>
      <c r="E36" t="s">
        <v>8</v>
      </c>
      <c r="F36">
        <v>444</v>
      </c>
      <c r="I36" t="b">
        <v>0</v>
      </c>
      <c r="K36" s="1">
        <f t="shared" si="0"/>
        <v>45324</v>
      </c>
      <c r="L36">
        <f t="shared" si="1"/>
        <v>444</v>
      </c>
    </row>
    <row r="37" spans="1:12" hidden="1" x14ac:dyDescent="0.3">
      <c r="A37" s="1">
        <v>45325</v>
      </c>
      <c r="B37" s="1">
        <v>45327</v>
      </c>
      <c r="C37">
        <v>2188</v>
      </c>
      <c r="D37" t="s">
        <v>57</v>
      </c>
      <c r="E37" t="s">
        <v>10</v>
      </c>
      <c r="F37">
        <v>555</v>
      </c>
      <c r="I37" t="b">
        <v>0</v>
      </c>
      <c r="K37" s="1">
        <f t="shared" si="0"/>
        <v>45325</v>
      </c>
      <c r="L37">
        <f t="shared" si="1"/>
        <v>555</v>
      </c>
    </row>
    <row r="38" spans="1:12" hidden="1" x14ac:dyDescent="0.3">
      <c r="A38" s="1">
        <v>45326</v>
      </c>
      <c r="B38" s="1">
        <v>45328</v>
      </c>
      <c r="C38">
        <v>2188</v>
      </c>
      <c r="D38" t="s">
        <v>11</v>
      </c>
      <c r="E38" t="s">
        <v>12</v>
      </c>
      <c r="F38">
        <v>100</v>
      </c>
      <c r="I38" t="b">
        <v>0</v>
      </c>
      <c r="K38" s="1">
        <f t="shared" si="0"/>
        <v>45326</v>
      </c>
      <c r="L38">
        <f t="shared" si="1"/>
        <v>100</v>
      </c>
    </row>
    <row r="39" spans="1:12" hidden="1" x14ac:dyDescent="0.3">
      <c r="A39" s="1">
        <v>45327</v>
      </c>
      <c r="B39" s="1">
        <v>45329</v>
      </c>
      <c r="C39">
        <v>2188</v>
      </c>
      <c r="D39" t="s">
        <v>13</v>
      </c>
      <c r="E39" t="s">
        <v>8</v>
      </c>
      <c r="F39">
        <v>100</v>
      </c>
      <c r="I39" t="b">
        <v>0</v>
      </c>
      <c r="K39" s="1">
        <f t="shared" si="0"/>
        <v>45327</v>
      </c>
      <c r="L39">
        <f t="shared" si="1"/>
        <v>100</v>
      </c>
    </row>
    <row r="40" spans="1:12" hidden="1" x14ac:dyDescent="0.3">
      <c r="A40" s="1">
        <v>45328</v>
      </c>
      <c r="B40" s="1">
        <v>45330</v>
      </c>
      <c r="C40">
        <v>2188</v>
      </c>
      <c r="D40" t="s">
        <v>14</v>
      </c>
      <c r="E40" t="s">
        <v>12</v>
      </c>
      <c r="F40">
        <v>100</v>
      </c>
      <c r="I40" t="b">
        <v>0</v>
      </c>
      <c r="K40" s="1">
        <f t="shared" si="0"/>
        <v>45328</v>
      </c>
      <c r="L40">
        <f t="shared" si="1"/>
        <v>100</v>
      </c>
    </row>
    <row r="41" spans="1:12" hidden="1" x14ac:dyDescent="0.3">
      <c r="A41" s="1">
        <v>45329</v>
      </c>
      <c r="B41" s="1">
        <v>45331</v>
      </c>
      <c r="C41">
        <v>2188</v>
      </c>
      <c r="D41" t="s">
        <v>15</v>
      </c>
      <c r="E41" t="s">
        <v>16</v>
      </c>
      <c r="F41">
        <v>100</v>
      </c>
      <c r="I41" t="b">
        <v>0</v>
      </c>
      <c r="K41" s="1">
        <f t="shared" si="0"/>
        <v>45329</v>
      </c>
      <c r="L41">
        <f t="shared" si="1"/>
        <v>100</v>
      </c>
    </row>
    <row r="42" spans="1:12" hidden="1" x14ac:dyDescent="0.3">
      <c r="A42" s="1">
        <v>45330</v>
      </c>
      <c r="B42" s="1">
        <v>45332</v>
      </c>
      <c r="C42">
        <v>2188</v>
      </c>
      <c r="D42" t="s">
        <v>17</v>
      </c>
      <c r="E42" t="s">
        <v>18</v>
      </c>
      <c r="F42">
        <v>100</v>
      </c>
      <c r="I42" t="b">
        <v>0</v>
      </c>
      <c r="K42" s="1">
        <f t="shared" si="0"/>
        <v>45330</v>
      </c>
      <c r="L42">
        <f t="shared" si="1"/>
        <v>100</v>
      </c>
    </row>
    <row r="43" spans="1:12" hidden="1" x14ac:dyDescent="0.3">
      <c r="A43" s="1">
        <v>45331</v>
      </c>
      <c r="B43" s="1">
        <v>45333</v>
      </c>
      <c r="C43">
        <v>2188</v>
      </c>
      <c r="D43" t="s">
        <v>19</v>
      </c>
      <c r="E43" t="s">
        <v>7</v>
      </c>
      <c r="F43">
        <v>100</v>
      </c>
      <c r="I43" t="b">
        <v>0</v>
      </c>
      <c r="K43" s="1">
        <f t="shared" si="0"/>
        <v>45331</v>
      </c>
      <c r="L43">
        <f t="shared" si="1"/>
        <v>100</v>
      </c>
    </row>
    <row r="44" spans="1:12" hidden="1" x14ac:dyDescent="0.3">
      <c r="A44" s="1">
        <v>45332</v>
      </c>
      <c r="B44" s="1">
        <v>45334</v>
      </c>
      <c r="C44">
        <v>2188</v>
      </c>
      <c r="D44" t="s">
        <v>20</v>
      </c>
      <c r="E44" t="s">
        <v>12</v>
      </c>
      <c r="F44">
        <v>100</v>
      </c>
      <c r="I44" t="b">
        <v>0</v>
      </c>
      <c r="K44" s="1">
        <f t="shared" si="0"/>
        <v>45332</v>
      </c>
      <c r="L44">
        <f t="shared" si="1"/>
        <v>100</v>
      </c>
    </row>
    <row r="45" spans="1:12" hidden="1" x14ac:dyDescent="0.3">
      <c r="A45" s="1">
        <v>45333</v>
      </c>
      <c r="B45" s="1">
        <v>45335</v>
      </c>
      <c r="C45">
        <v>2188</v>
      </c>
      <c r="D45" t="s">
        <v>21</v>
      </c>
      <c r="E45" t="s">
        <v>22</v>
      </c>
      <c r="G45">
        <v>100</v>
      </c>
      <c r="I45" t="b">
        <v>0</v>
      </c>
      <c r="K45" s="1">
        <f t="shared" si="0"/>
        <v>45333</v>
      </c>
      <c r="L45">
        <f t="shared" si="1"/>
        <v>-100</v>
      </c>
    </row>
    <row r="46" spans="1:12" hidden="1" x14ac:dyDescent="0.3">
      <c r="A46" s="1">
        <v>45334</v>
      </c>
      <c r="B46" s="1">
        <v>45336</v>
      </c>
      <c r="C46">
        <v>2188</v>
      </c>
      <c r="D46" t="s">
        <v>23</v>
      </c>
      <c r="E46" t="s">
        <v>8</v>
      </c>
      <c r="F46">
        <v>100</v>
      </c>
      <c r="I46" t="b">
        <v>0</v>
      </c>
      <c r="K46" s="1">
        <f t="shared" si="0"/>
        <v>45334</v>
      </c>
      <c r="L46">
        <f t="shared" si="1"/>
        <v>100</v>
      </c>
    </row>
    <row r="47" spans="1:12" hidden="1" x14ac:dyDescent="0.3">
      <c r="A47" s="1">
        <v>45335</v>
      </c>
      <c r="B47" s="1">
        <v>45337</v>
      </c>
      <c r="C47">
        <v>2188</v>
      </c>
      <c r="D47" t="s">
        <v>24</v>
      </c>
      <c r="E47" t="s">
        <v>8</v>
      </c>
      <c r="F47">
        <v>100</v>
      </c>
      <c r="I47" t="b">
        <v>0</v>
      </c>
      <c r="K47" s="1">
        <f t="shared" si="0"/>
        <v>45335</v>
      </c>
      <c r="L47">
        <f t="shared" si="1"/>
        <v>100</v>
      </c>
    </row>
    <row r="48" spans="1:12" hidden="1" x14ac:dyDescent="0.3">
      <c r="A48" s="1">
        <v>45336</v>
      </c>
      <c r="B48" s="1">
        <v>45338</v>
      </c>
      <c r="C48">
        <v>2188</v>
      </c>
      <c r="D48" t="s">
        <v>25</v>
      </c>
      <c r="E48" t="s">
        <v>12</v>
      </c>
      <c r="F48">
        <v>100</v>
      </c>
      <c r="I48" t="b">
        <v>0</v>
      </c>
      <c r="K48" s="1">
        <f t="shared" si="0"/>
        <v>45336</v>
      </c>
      <c r="L48">
        <f t="shared" si="1"/>
        <v>100</v>
      </c>
    </row>
    <row r="49" spans="1:12" hidden="1" x14ac:dyDescent="0.3">
      <c r="A49" s="1">
        <v>45337</v>
      </c>
      <c r="B49" s="1">
        <v>45339</v>
      </c>
      <c r="C49">
        <v>2188</v>
      </c>
      <c r="D49" t="s">
        <v>26</v>
      </c>
      <c r="E49" t="s">
        <v>12</v>
      </c>
      <c r="F49">
        <v>100</v>
      </c>
      <c r="H49" t="b">
        <v>1</v>
      </c>
      <c r="I49" t="b">
        <v>0</v>
      </c>
      <c r="K49" s="1">
        <f t="shared" si="0"/>
        <v>45337</v>
      </c>
      <c r="L49">
        <f t="shared" si="1"/>
        <v>0</v>
      </c>
    </row>
    <row r="50" spans="1:12" hidden="1" x14ac:dyDescent="0.3">
      <c r="A50" s="1">
        <v>45338</v>
      </c>
      <c r="B50" s="1">
        <v>45340</v>
      </c>
      <c r="C50">
        <v>2188</v>
      </c>
      <c r="D50" t="s">
        <v>27</v>
      </c>
      <c r="E50" t="s">
        <v>12</v>
      </c>
      <c r="F50">
        <v>100</v>
      </c>
      <c r="I50" t="b">
        <v>0</v>
      </c>
      <c r="K50" s="1">
        <f t="shared" si="0"/>
        <v>45338</v>
      </c>
      <c r="L50">
        <f t="shared" si="1"/>
        <v>100</v>
      </c>
    </row>
    <row r="51" spans="1:12" hidden="1" x14ac:dyDescent="0.3">
      <c r="A51" s="1">
        <v>45339</v>
      </c>
      <c r="B51" s="1">
        <v>45341</v>
      </c>
      <c r="C51">
        <v>2188</v>
      </c>
      <c r="D51" t="s">
        <v>28</v>
      </c>
      <c r="E51" t="s">
        <v>12</v>
      </c>
      <c r="F51">
        <v>100</v>
      </c>
      <c r="I51" t="b">
        <v>0</v>
      </c>
      <c r="K51" s="1">
        <f t="shared" si="0"/>
        <v>45339</v>
      </c>
      <c r="L51">
        <f t="shared" si="1"/>
        <v>100</v>
      </c>
    </row>
    <row r="52" spans="1:12" hidden="1" x14ac:dyDescent="0.3">
      <c r="A52" s="1">
        <v>45340</v>
      </c>
      <c r="B52" s="1">
        <v>45342</v>
      </c>
      <c r="C52">
        <v>2188</v>
      </c>
      <c r="D52" t="s">
        <v>29</v>
      </c>
      <c r="E52" t="s">
        <v>12</v>
      </c>
      <c r="F52">
        <v>100</v>
      </c>
      <c r="I52" t="b">
        <v>0</v>
      </c>
      <c r="K52" s="1">
        <f t="shared" si="0"/>
        <v>45340</v>
      </c>
      <c r="L52">
        <f t="shared" si="1"/>
        <v>100</v>
      </c>
    </row>
    <row r="53" spans="1:12" hidden="1" x14ac:dyDescent="0.3">
      <c r="A53" s="1">
        <v>45341</v>
      </c>
      <c r="B53" s="1">
        <v>45343</v>
      </c>
      <c r="C53">
        <v>2188</v>
      </c>
      <c r="D53" t="s">
        <v>30</v>
      </c>
      <c r="E53" t="s">
        <v>12</v>
      </c>
      <c r="F53">
        <v>100</v>
      </c>
      <c r="I53" t="b">
        <v>0</v>
      </c>
      <c r="K53" s="1">
        <f t="shared" si="0"/>
        <v>45341</v>
      </c>
      <c r="L53">
        <f t="shared" si="1"/>
        <v>100</v>
      </c>
    </row>
    <row r="54" spans="1:12" hidden="1" x14ac:dyDescent="0.3">
      <c r="A54" s="1">
        <v>45342</v>
      </c>
      <c r="B54" s="1">
        <v>45344</v>
      </c>
      <c r="C54">
        <v>2188</v>
      </c>
      <c r="D54" t="s">
        <v>31</v>
      </c>
      <c r="E54" t="s">
        <v>12</v>
      </c>
      <c r="F54">
        <v>100</v>
      </c>
      <c r="I54" t="b">
        <v>0</v>
      </c>
      <c r="K54" s="1">
        <f t="shared" si="0"/>
        <v>45342</v>
      </c>
      <c r="L54">
        <f t="shared" si="1"/>
        <v>100</v>
      </c>
    </row>
    <row r="55" spans="1:12" hidden="1" x14ac:dyDescent="0.3">
      <c r="A55" s="1">
        <v>45343</v>
      </c>
      <c r="B55" s="1">
        <v>45345</v>
      </c>
      <c r="C55">
        <v>2188</v>
      </c>
      <c r="D55" t="s">
        <v>32</v>
      </c>
      <c r="E55" t="s">
        <v>12</v>
      </c>
      <c r="F55">
        <v>100</v>
      </c>
      <c r="I55" t="b">
        <v>0</v>
      </c>
      <c r="K55" s="1">
        <f t="shared" si="0"/>
        <v>45343</v>
      </c>
      <c r="L55">
        <f t="shared" si="1"/>
        <v>100</v>
      </c>
    </row>
    <row r="56" spans="1:12" hidden="1" x14ac:dyDescent="0.3">
      <c r="A56" s="1">
        <v>45344</v>
      </c>
      <c r="B56" s="1">
        <v>45346</v>
      </c>
      <c r="C56">
        <v>2188</v>
      </c>
      <c r="D56" t="s">
        <v>33</v>
      </c>
      <c r="E56" t="s">
        <v>12</v>
      </c>
      <c r="F56">
        <v>100</v>
      </c>
      <c r="I56" t="b">
        <v>0</v>
      </c>
      <c r="K56" s="1">
        <f t="shared" si="0"/>
        <v>45344</v>
      </c>
      <c r="L56">
        <f t="shared" si="1"/>
        <v>100</v>
      </c>
    </row>
    <row r="57" spans="1:12" hidden="1" x14ac:dyDescent="0.3">
      <c r="A57" s="1">
        <v>45345</v>
      </c>
      <c r="B57" s="1">
        <v>45347</v>
      </c>
      <c r="C57">
        <v>2188</v>
      </c>
      <c r="D57" t="s">
        <v>34</v>
      </c>
      <c r="E57" t="s">
        <v>12</v>
      </c>
      <c r="F57">
        <v>100</v>
      </c>
      <c r="I57" t="b">
        <v>0</v>
      </c>
      <c r="K57" s="1">
        <f t="shared" si="0"/>
        <v>45345</v>
      </c>
      <c r="L57">
        <f t="shared" si="1"/>
        <v>100</v>
      </c>
    </row>
    <row r="58" spans="1:12" hidden="1" x14ac:dyDescent="0.3">
      <c r="A58" s="1">
        <v>45346</v>
      </c>
      <c r="B58" s="1">
        <v>45348</v>
      </c>
      <c r="C58">
        <v>2188</v>
      </c>
      <c r="D58" t="s">
        <v>35</v>
      </c>
      <c r="E58" t="s">
        <v>12</v>
      </c>
      <c r="F58">
        <v>100</v>
      </c>
      <c r="I58" t="b">
        <v>0</v>
      </c>
      <c r="K58" s="1">
        <f t="shared" si="0"/>
        <v>45346</v>
      </c>
      <c r="L58">
        <f t="shared" si="1"/>
        <v>100</v>
      </c>
    </row>
    <row r="59" spans="1:12" hidden="1" x14ac:dyDescent="0.3">
      <c r="A59" s="1">
        <v>45347</v>
      </c>
      <c r="B59" s="1">
        <v>45349</v>
      </c>
      <c r="C59">
        <v>2188</v>
      </c>
      <c r="D59" t="s">
        <v>36</v>
      </c>
      <c r="E59" t="s">
        <v>37</v>
      </c>
      <c r="F59">
        <v>100</v>
      </c>
      <c r="I59" t="b">
        <v>0</v>
      </c>
      <c r="K59" s="1">
        <f t="shared" si="0"/>
        <v>45347</v>
      </c>
      <c r="L59">
        <f t="shared" si="1"/>
        <v>100</v>
      </c>
    </row>
    <row r="60" spans="1:12" hidden="1" x14ac:dyDescent="0.3">
      <c r="A60" s="1">
        <v>45348</v>
      </c>
      <c r="B60" s="1">
        <v>45350</v>
      </c>
      <c r="C60">
        <v>2188</v>
      </c>
      <c r="D60" t="s">
        <v>38</v>
      </c>
      <c r="E60" t="s">
        <v>12</v>
      </c>
      <c r="F60">
        <v>100</v>
      </c>
      <c r="I60" t="b">
        <v>0</v>
      </c>
      <c r="K60" s="1">
        <f t="shared" si="0"/>
        <v>45348</v>
      </c>
      <c r="L60">
        <f t="shared" si="1"/>
        <v>100</v>
      </c>
    </row>
    <row r="61" spans="1:12" hidden="1" x14ac:dyDescent="0.3">
      <c r="A61" s="1">
        <v>45349</v>
      </c>
      <c r="B61" s="1">
        <v>45351</v>
      </c>
      <c r="C61">
        <v>2188</v>
      </c>
      <c r="D61" t="s">
        <v>39</v>
      </c>
      <c r="E61" t="s">
        <v>8</v>
      </c>
      <c r="F61">
        <v>100</v>
      </c>
      <c r="I61" t="b">
        <v>0</v>
      </c>
      <c r="K61" s="1">
        <f t="shared" si="0"/>
        <v>45349</v>
      </c>
      <c r="L61">
        <f t="shared" si="1"/>
        <v>100</v>
      </c>
    </row>
    <row r="62" spans="1:12" hidden="1" x14ac:dyDescent="0.3">
      <c r="A62" s="1">
        <v>45350</v>
      </c>
      <c r="B62" s="1">
        <v>45351</v>
      </c>
      <c r="C62">
        <v>2188</v>
      </c>
      <c r="D62" t="s">
        <v>40</v>
      </c>
      <c r="E62" t="s">
        <v>41</v>
      </c>
      <c r="F62">
        <v>100</v>
      </c>
      <c r="I62" t="b">
        <v>0</v>
      </c>
      <c r="K62" s="1">
        <f t="shared" si="0"/>
        <v>45350</v>
      </c>
      <c r="L62">
        <f t="shared" si="1"/>
        <v>100</v>
      </c>
    </row>
    <row r="63" spans="1:12" hidden="1" x14ac:dyDescent="0.3">
      <c r="A63" s="1">
        <v>45351</v>
      </c>
      <c r="B63" s="1">
        <v>45351</v>
      </c>
      <c r="C63">
        <v>2188</v>
      </c>
      <c r="D63" t="s">
        <v>42</v>
      </c>
      <c r="E63" t="s">
        <v>41</v>
      </c>
      <c r="F63">
        <v>100</v>
      </c>
      <c r="I63" t="b">
        <v>0</v>
      </c>
      <c r="K63" s="1">
        <f t="shared" si="0"/>
        <v>45351</v>
      </c>
      <c r="L63">
        <f t="shared" si="1"/>
        <v>100</v>
      </c>
    </row>
    <row r="64" spans="1:12" hidden="1" x14ac:dyDescent="0.3">
      <c r="A64" s="1">
        <v>45351</v>
      </c>
      <c r="B64" s="1">
        <v>45352</v>
      </c>
      <c r="C64">
        <v>2188</v>
      </c>
      <c r="D64" t="s">
        <v>53</v>
      </c>
      <c r="E64" t="s">
        <v>7</v>
      </c>
      <c r="F64">
        <v>111</v>
      </c>
      <c r="I64" t="b">
        <v>0</v>
      </c>
      <c r="K64" s="1">
        <f t="shared" si="0"/>
        <v>45351</v>
      </c>
      <c r="L64">
        <f t="shared" si="1"/>
        <v>111</v>
      </c>
    </row>
    <row r="65" spans="1:12" hidden="1" x14ac:dyDescent="0.3">
      <c r="A65" s="1">
        <v>45351</v>
      </c>
      <c r="B65" s="1">
        <v>45353</v>
      </c>
      <c r="C65">
        <v>2188</v>
      </c>
      <c r="D65" t="s">
        <v>54</v>
      </c>
      <c r="E65" t="s">
        <v>8</v>
      </c>
      <c r="F65">
        <v>222</v>
      </c>
      <c r="I65" t="b">
        <v>0</v>
      </c>
      <c r="K65" s="1">
        <f t="shared" si="0"/>
        <v>45351</v>
      </c>
      <c r="L65">
        <f t="shared" si="1"/>
        <v>222</v>
      </c>
    </row>
    <row r="66" spans="1:12" hidden="1" x14ac:dyDescent="0.3">
      <c r="A66" s="1">
        <v>45352</v>
      </c>
      <c r="B66" s="1">
        <v>45354</v>
      </c>
      <c r="C66">
        <v>2188</v>
      </c>
      <c r="D66" t="s">
        <v>55</v>
      </c>
      <c r="E66" t="s">
        <v>9</v>
      </c>
      <c r="F66">
        <v>333</v>
      </c>
      <c r="I66" t="b">
        <v>0</v>
      </c>
      <c r="K66" s="1">
        <f t="shared" si="0"/>
        <v>45352</v>
      </c>
      <c r="L66">
        <f t="shared" si="1"/>
        <v>333</v>
      </c>
    </row>
    <row r="67" spans="1:12" hidden="1" x14ac:dyDescent="0.3">
      <c r="A67" s="1">
        <v>45353</v>
      </c>
      <c r="B67" s="1">
        <v>45355</v>
      </c>
      <c r="C67">
        <v>2188</v>
      </c>
      <c r="D67" t="s">
        <v>56</v>
      </c>
      <c r="E67" t="s">
        <v>8</v>
      </c>
      <c r="F67">
        <v>444</v>
      </c>
      <c r="I67" t="b">
        <v>0</v>
      </c>
      <c r="K67" s="1">
        <f t="shared" ref="K67:K125" si="2">IF(I67=FALSE, IF(A67&lt;B67,A67,B67), J67)</f>
        <v>45353</v>
      </c>
      <c r="L67">
        <f t="shared" ref="L67:L125" si="3">IF(H67=FALSE,F67-G67,0)</f>
        <v>444</v>
      </c>
    </row>
    <row r="68" spans="1:12" hidden="1" x14ac:dyDescent="0.3">
      <c r="A68" s="1">
        <v>45354</v>
      </c>
      <c r="B68" s="1">
        <v>45356</v>
      </c>
      <c r="C68">
        <v>2188</v>
      </c>
      <c r="D68" t="s">
        <v>57</v>
      </c>
      <c r="E68" t="s">
        <v>10</v>
      </c>
      <c r="F68">
        <v>555</v>
      </c>
      <c r="I68" t="b">
        <v>0</v>
      </c>
      <c r="K68" s="1">
        <f t="shared" si="2"/>
        <v>45354</v>
      </c>
      <c r="L68">
        <f t="shared" si="3"/>
        <v>555</v>
      </c>
    </row>
    <row r="69" spans="1:12" hidden="1" x14ac:dyDescent="0.3">
      <c r="A69" s="1">
        <v>45355</v>
      </c>
      <c r="B69" s="1">
        <v>45357</v>
      </c>
      <c r="C69">
        <v>2188</v>
      </c>
      <c r="D69" t="s">
        <v>11</v>
      </c>
      <c r="E69" t="s">
        <v>12</v>
      </c>
      <c r="F69">
        <v>100</v>
      </c>
      <c r="I69" t="b">
        <v>0</v>
      </c>
      <c r="K69" s="1">
        <f t="shared" si="2"/>
        <v>45355</v>
      </c>
      <c r="L69">
        <f t="shared" si="3"/>
        <v>100</v>
      </c>
    </row>
    <row r="70" spans="1:12" hidden="1" x14ac:dyDescent="0.3">
      <c r="A70" s="1">
        <v>45356</v>
      </c>
      <c r="B70" s="1">
        <v>45358</v>
      </c>
      <c r="C70">
        <v>2188</v>
      </c>
      <c r="D70" t="s">
        <v>13</v>
      </c>
      <c r="E70" t="s">
        <v>8</v>
      </c>
      <c r="F70">
        <v>100</v>
      </c>
      <c r="I70" t="b">
        <v>0</v>
      </c>
      <c r="K70" s="1">
        <f t="shared" si="2"/>
        <v>45356</v>
      </c>
      <c r="L70">
        <f t="shared" si="3"/>
        <v>100</v>
      </c>
    </row>
    <row r="71" spans="1:12" hidden="1" x14ac:dyDescent="0.3">
      <c r="A71" s="1">
        <v>45357</v>
      </c>
      <c r="B71" s="1">
        <v>45359</v>
      </c>
      <c r="C71">
        <v>2188</v>
      </c>
      <c r="D71" t="s">
        <v>14</v>
      </c>
      <c r="E71" t="s">
        <v>12</v>
      </c>
      <c r="F71">
        <v>100</v>
      </c>
      <c r="I71" t="b">
        <v>0</v>
      </c>
      <c r="K71" s="1">
        <f t="shared" si="2"/>
        <v>45357</v>
      </c>
      <c r="L71">
        <f t="shared" si="3"/>
        <v>100</v>
      </c>
    </row>
    <row r="72" spans="1:12" hidden="1" x14ac:dyDescent="0.3">
      <c r="A72" s="1">
        <v>45358</v>
      </c>
      <c r="B72" s="1">
        <v>45360</v>
      </c>
      <c r="C72">
        <v>2188</v>
      </c>
      <c r="D72" t="s">
        <v>15</v>
      </c>
      <c r="E72" t="s">
        <v>16</v>
      </c>
      <c r="F72">
        <v>100</v>
      </c>
      <c r="I72" t="b">
        <v>0</v>
      </c>
      <c r="K72" s="1">
        <f t="shared" si="2"/>
        <v>45358</v>
      </c>
      <c r="L72">
        <f t="shared" si="3"/>
        <v>100</v>
      </c>
    </row>
    <row r="73" spans="1:12" hidden="1" x14ac:dyDescent="0.3">
      <c r="A73" s="1">
        <v>45359</v>
      </c>
      <c r="B73" s="1">
        <v>45361</v>
      </c>
      <c r="C73">
        <v>2188</v>
      </c>
      <c r="D73" t="s">
        <v>17</v>
      </c>
      <c r="E73" t="s">
        <v>18</v>
      </c>
      <c r="F73">
        <v>100</v>
      </c>
      <c r="I73" t="b">
        <v>0</v>
      </c>
      <c r="K73" s="1">
        <f t="shared" si="2"/>
        <v>45359</v>
      </c>
      <c r="L73">
        <f t="shared" si="3"/>
        <v>100</v>
      </c>
    </row>
    <row r="74" spans="1:12" hidden="1" x14ac:dyDescent="0.3">
      <c r="A74" s="1">
        <v>45360</v>
      </c>
      <c r="B74" s="1">
        <v>45362</v>
      </c>
      <c r="C74">
        <v>2188</v>
      </c>
      <c r="D74" t="s">
        <v>19</v>
      </c>
      <c r="E74" t="s">
        <v>7</v>
      </c>
      <c r="F74">
        <v>100</v>
      </c>
      <c r="I74" t="b">
        <v>0</v>
      </c>
      <c r="K74" s="1">
        <f t="shared" si="2"/>
        <v>45360</v>
      </c>
      <c r="L74">
        <f t="shared" si="3"/>
        <v>100</v>
      </c>
    </row>
    <row r="75" spans="1:12" hidden="1" x14ac:dyDescent="0.3">
      <c r="A75" s="1">
        <v>45361</v>
      </c>
      <c r="B75" s="1">
        <v>45363</v>
      </c>
      <c r="C75">
        <v>2188</v>
      </c>
      <c r="D75" t="s">
        <v>20</v>
      </c>
      <c r="E75" t="s">
        <v>12</v>
      </c>
      <c r="F75">
        <v>100</v>
      </c>
      <c r="I75" t="b">
        <v>0</v>
      </c>
      <c r="K75" s="1">
        <f t="shared" si="2"/>
        <v>45361</v>
      </c>
      <c r="L75">
        <f t="shared" si="3"/>
        <v>100</v>
      </c>
    </row>
    <row r="76" spans="1:12" hidden="1" x14ac:dyDescent="0.3">
      <c r="A76" s="1">
        <v>45362</v>
      </c>
      <c r="B76" s="1">
        <v>45364</v>
      </c>
      <c r="C76">
        <v>2188</v>
      </c>
      <c r="D76" t="s">
        <v>21</v>
      </c>
      <c r="E76" t="s">
        <v>22</v>
      </c>
      <c r="G76">
        <v>100</v>
      </c>
      <c r="I76" t="b">
        <v>0</v>
      </c>
      <c r="K76" s="1">
        <f t="shared" si="2"/>
        <v>45362</v>
      </c>
      <c r="L76">
        <f t="shared" si="3"/>
        <v>-100</v>
      </c>
    </row>
    <row r="77" spans="1:12" hidden="1" x14ac:dyDescent="0.3">
      <c r="A77" s="1">
        <v>45363</v>
      </c>
      <c r="B77" s="1">
        <v>45365</v>
      </c>
      <c r="C77">
        <v>2188</v>
      </c>
      <c r="D77" t="s">
        <v>23</v>
      </c>
      <c r="E77" t="s">
        <v>8</v>
      </c>
      <c r="F77">
        <v>100</v>
      </c>
      <c r="I77" t="b">
        <v>0</v>
      </c>
      <c r="K77" s="1">
        <f t="shared" si="2"/>
        <v>45363</v>
      </c>
      <c r="L77">
        <f t="shared" si="3"/>
        <v>100</v>
      </c>
    </row>
    <row r="78" spans="1:12" hidden="1" x14ac:dyDescent="0.3">
      <c r="A78" s="1">
        <v>45364</v>
      </c>
      <c r="B78" s="1">
        <v>45366</v>
      </c>
      <c r="C78">
        <v>2188</v>
      </c>
      <c r="D78" t="s">
        <v>24</v>
      </c>
      <c r="E78" t="s">
        <v>8</v>
      </c>
      <c r="F78">
        <v>100</v>
      </c>
      <c r="I78" t="b">
        <v>0</v>
      </c>
      <c r="K78" s="1">
        <f t="shared" si="2"/>
        <v>45364</v>
      </c>
      <c r="L78">
        <f t="shared" si="3"/>
        <v>100</v>
      </c>
    </row>
    <row r="79" spans="1:12" hidden="1" x14ac:dyDescent="0.3">
      <c r="A79" s="1">
        <v>45365</v>
      </c>
      <c r="B79" s="1">
        <v>45367</v>
      </c>
      <c r="C79">
        <v>2188</v>
      </c>
      <c r="D79" t="s">
        <v>25</v>
      </c>
      <c r="E79" t="s">
        <v>12</v>
      </c>
      <c r="F79">
        <v>100</v>
      </c>
      <c r="I79" t="b">
        <v>0</v>
      </c>
      <c r="K79" s="1">
        <f t="shared" si="2"/>
        <v>45365</v>
      </c>
      <c r="L79">
        <f t="shared" si="3"/>
        <v>100</v>
      </c>
    </row>
    <row r="80" spans="1:12" hidden="1" x14ac:dyDescent="0.3">
      <c r="A80" s="1">
        <v>45366</v>
      </c>
      <c r="B80" s="1">
        <v>45368</v>
      </c>
      <c r="C80">
        <v>2188</v>
      </c>
      <c r="D80" t="s">
        <v>26</v>
      </c>
      <c r="E80" t="s">
        <v>12</v>
      </c>
      <c r="F80">
        <v>100</v>
      </c>
      <c r="H80" t="b">
        <v>1</v>
      </c>
      <c r="I80" t="b">
        <v>0</v>
      </c>
      <c r="K80" s="1">
        <f t="shared" si="2"/>
        <v>45366</v>
      </c>
      <c r="L80">
        <f t="shared" si="3"/>
        <v>0</v>
      </c>
    </row>
    <row r="81" spans="1:12" hidden="1" x14ac:dyDescent="0.3">
      <c r="A81" s="1">
        <v>45367</v>
      </c>
      <c r="B81" s="1">
        <v>45369</v>
      </c>
      <c r="C81">
        <v>2188</v>
      </c>
      <c r="D81" t="s">
        <v>27</v>
      </c>
      <c r="E81" t="s">
        <v>12</v>
      </c>
      <c r="F81">
        <v>100</v>
      </c>
      <c r="I81" t="b">
        <v>0</v>
      </c>
      <c r="K81" s="1">
        <f t="shared" si="2"/>
        <v>45367</v>
      </c>
      <c r="L81">
        <f t="shared" si="3"/>
        <v>100</v>
      </c>
    </row>
    <row r="82" spans="1:12" hidden="1" x14ac:dyDescent="0.3">
      <c r="A82" s="1">
        <v>45368</v>
      </c>
      <c r="B82" s="1">
        <v>45370</v>
      </c>
      <c r="C82">
        <v>2188</v>
      </c>
      <c r="D82" t="s">
        <v>28</v>
      </c>
      <c r="E82" t="s">
        <v>12</v>
      </c>
      <c r="F82">
        <v>100</v>
      </c>
      <c r="I82" t="b">
        <v>0</v>
      </c>
      <c r="K82" s="1">
        <f t="shared" si="2"/>
        <v>45368</v>
      </c>
      <c r="L82">
        <f t="shared" si="3"/>
        <v>100</v>
      </c>
    </row>
    <row r="83" spans="1:12" hidden="1" x14ac:dyDescent="0.3">
      <c r="A83" s="1">
        <v>45369</v>
      </c>
      <c r="B83" s="1">
        <v>45371</v>
      </c>
      <c r="C83">
        <v>2188</v>
      </c>
      <c r="D83" t="s">
        <v>29</v>
      </c>
      <c r="E83" t="s">
        <v>12</v>
      </c>
      <c r="F83">
        <v>100</v>
      </c>
      <c r="I83" t="b">
        <v>0</v>
      </c>
      <c r="K83" s="1">
        <f t="shared" si="2"/>
        <v>45369</v>
      </c>
      <c r="L83">
        <f t="shared" si="3"/>
        <v>100</v>
      </c>
    </row>
    <row r="84" spans="1:12" hidden="1" x14ac:dyDescent="0.3">
      <c r="A84" s="1">
        <v>45370</v>
      </c>
      <c r="B84" s="1">
        <v>45372</v>
      </c>
      <c r="C84">
        <v>2188</v>
      </c>
      <c r="D84" t="s">
        <v>30</v>
      </c>
      <c r="E84" t="s">
        <v>12</v>
      </c>
      <c r="F84">
        <v>100</v>
      </c>
      <c r="I84" t="b">
        <v>0</v>
      </c>
      <c r="K84" s="1">
        <f t="shared" si="2"/>
        <v>45370</v>
      </c>
      <c r="L84">
        <f t="shared" si="3"/>
        <v>100</v>
      </c>
    </row>
    <row r="85" spans="1:12" hidden="1" x14ac:dyDescent="0.3">
      <c r="A85" s="1">
        <v>45371</v>
      </c>
      <c r="B85" s="1">
        <v>45373</v>
      </c>
      <c r="C85">
        <v>2188</v>
      </c>
      <c r="D85" t="s">
        <v>31</v>
      </c>
      <c r="E85" t="s">
        <v>12</v>
      </c>
      <c r="F85">
        <v>100</v>
      </c>
      <c r="I85" t="b">
        <v>0</v>
      </c>
      <c r="K85" s="1">
        <f t="shared" si="2"/>
        <v>45371</v>
      </c>
      <c r="L85">
        <f t="shared" si="3"/>
        <v>100</v>
      </c>
    </row>
    <row r="86" spans="1:12" hidden="1" x14ac:dyDescent="0.3">
      <c r="A86" s="1">
        <v>45372</v>
      </c>
      <c r="B86" s="1">
        <v>45374</v>
      </c>
      <c r="C86">
        <v>2188</v>
      </c>
      <c r="D86" t="s">
        <v>32</v>
      </c>
      <c r="E86" t="s">
        <v>12</v>
      </c>
      <c r="F86">
        <v>100</v>
      </c>
      <c r="I86" t="b">
        <v>0</v>
      </c>
      <c r="K86" s="1">
        <f t="shared" si="2"/>
        <v>45372</v>
      </c>
      <c r="L86">
        <f t="shared" si="3"/>
        <v>100</v>
      </c>
    </row>
    <row r="87" spans="1:12" hidden="1" x14ac:dyDescent="0.3">
      <c r="A87" s="1">
        <v>45373</v>
      </c>
      <c r="B87" s="1">
        <v>45375</v>
      </c>
      <c r="C87">
        <v>2188</v>
      </c>
      <c r="D87" t="s">
        <v>33</v>
      </c>
      <c r="E87" t="s">
        <v>12</v>
      </c>
      <c r="F87">
        <v>100</v>
      </c>
      <c r="I87" t="b">
        <v>0</v>
      </c>
      <c r="K87" s="1">
        <f t="shared" si="2"/>
        <v>45373</v>
      </c>
      <c r="L87">
        <f t="shared" si="3"/>
        <v>100</v>
      </c>
    </row>
    <row r="88" spans="1:12" hidden="1" x14ac:dyDescent="0.3">
      <c r="A88" s="1">
        <v>45374</v>
      </c>
      <c r="B88" s="1">
        <v>45376</v>
      </c>
      <c r="C88">
        <v>2188</v>
      </c>
      <c r="D88" t="s">
        <v>34</v>
      </c>
      <c r="E88" t="s">
        <v>12</v>
      </c>
      <c r="F88">
        <v>100</v>
      </c>
      <c r="I88" t="b">
        <v>0</v>
      </c>
      <c r="K88" s="1">
        <f t="shared" si="2"/>
        <v>45374</v>
      </c>
      <c r="L88">
        <f t="shared" si="3"/>
        <v>100</v>
      </c>
    </row>
    <row r="89" spans="1:12" hidden="1" x14ac:dyDescent="0.3">
      <c r="A89" s="1">
        <v>45375</v>
      </c>
      <c r="B89" s="1">
        <v>45377</v>
      </c>
      <c r="C89">
        <v>2188</v>
      </c>
      <c r="D89" t="s">
        <v>35</v>
      </c>
      <c r="E89" t="s">
        <v>12</v>
      </c>
      <c r="F89">
        <v>100</v>
      </c>
      <c r="I89" t="b">
        <v>0</v>
      </c>
      <c r="K89" s="1">
        <f t="shared" si="2"/>
        <v>45375</v>
      </c>
      <c r="L89">
        <f t="shared" si="3"/>
        <v>100</v>
      </c>
    </row>
    <row r="90" spans="1:12" hidden="1" x14ac:dyDescent="0.3">
      <c r="A90" s="1">
        <v>45376</v>
      </c>
      <c r="B90" s="1">
        <v>45378</v>
      </c>
      <c r="C90">
        <v>2188</v>
      </c>
      <c r="D90" t="s">
        <v>36</v>
      </c>
      <c r="E90" t="s">
        <v>37</v>
      </c>
      <c r="F90">
        <v>100</v>
      </c>
      <c r="I90" t="b">
        <v>0</v>
      </c>
      <c r="K90" s="1">
        <f t="shared" si="2"/>
        <v>45376</v>
      </c>
      <c r="L90">
        <f t="shared" si="3"/>
        <v>100</v>
      </c>
    </row>
    <row r="91" spans="1:12" hidden="1" x14ac:dyDescent="0.3">
      <c r="A91" s="1">
        <v>45377</v>
      </c>
      <c r="B91" s="1">
        <v>45379</v>
      </c>
      <c r="C91">
        <v>2188</v>
      </c>
      <c r="D91" t="s">
        <v>38</v>
      </c>
      <c r="E91" t="s">
        <v>12</v>
      </c>
      <c r="F91">
        <v>100</v>
      </c>
      <c r="I91" t="b">
        <v>0</v>
      </c>
      <c r="K91" s="1">
        <f t="shared" si="2"/>
        <v>45377</v>
      </c>
      <c r="L91">
        <f t="shared" si="3"/>
        <v>100</v>
      </c>
    </row>
    <row r="92" spans="1:12" hidden="1" x14ac:dyDescent="0.3">
      <c r="A92" s="1">
        <v>45378</v>
      </c>
      <c r="B92" s="1">
        <v>45380</v>
      </c>
      <c r="C92">
        <v>2188</v>
      </c>
      <c r="D92" t="s">
        <v>39</v>
      </c>
      <c r="E92" t="s">
        <v>8</v>
      </c>
      <c r="F92">
        <v>100</v>
      </c>
      <c r="I92" t="b">
        <v>0</v>
      </c>
      <c r="K92" s="1">
        <f t="shared" si="2"/>
        <v>45378</v>
      </c>
      <c r="L92">
        <f t="shared" si="3"/>
        <v>100</v>
      </c>
    </row>
    <row r="93" spans="1:12" hidden="1" x14ac:dyDescent="0.3">
      <c r="A93" s="1">
        <v>45379</v>
      </c>
      <c r="B93" s="1">
        <v>45381</v>
      </c>
      <c r="C93">
        <v>2188</v>
      </c>
      <c r="D93" t="s">
        <v>40</v>
      </c>
      <c r="E93" t="s">
        <v>41</v>
      </c>
      <c r="F93">
        <v>100</v>
      </c>
      <c r="I93" t="b">
        <v>0</v>
      </c>
      <c r="K93" s="1">
        <f t="shared" si="2"/>
        <v>45379</v>
      </c>
      <c r="L93">
        <f t="shared" si="3"/>
        <v>100</v>
      </c>
    </row>
    <row r="94" spans="1:12" hidden="1" x14ac:dyDescent="0.3">
      <c r="A94" s="1">
        <v>45380</v>
      </c>
      <c r="B94" s="1">
        <v>45382</v>
      </c>
      <c r="C94">
        <v>2188</v>
      </c>
      <c r="D94" t="s">
        <v>42</v>
      </c>
      <c r="E94" t="s">
        <v>41</v>
      </c>
      <c r="F94">
        <v>100</v>
      </c>
      <c r="I94" t="b">
        <v>0</v>
      </c>
      <c r="K94" s="1">
        <f t="shared" si="2"/>
        <v>45380</v>
      </c>
      <c r="L94">
        <f t="shared" si="3"/>
        <v>100</v>
      </c>
    </row>
    <row r="95" spans="1:12" hidden="1" x14ac:dyDescent="0.3">
      <c r="A95" s="1">
        <v>45381</v>
      </c>
      <c r="B95" s="1">
        <v>45383</v>
      </c>
      <c r="C95">
        <v>2188</v>
      </c>
      <c r="D95" t="s">
        <v>53</v>
      </c>
      <c r="E95" t="s">
        <v>7</v>
      </c>
      <c r="F95">
        <v>111</v>
      </c>
      <c r="I95" t="b">
        <v>0</v>
      </c>
      <c r="K95" s="1">
        <f t="shared" si="2"/>
        <v>45381</v>
      </c>
      <c r="L95">
        <f t="shared" si="3"/>
        <v>111</v>
      </c>
    </row>
    <row r="96" spans="1:12" hidden="1" x14ac:dyDescent="0.3">
      <c r="A96" s="1">
        <v>45382</v>
      </c>
      <c r="B96" s="1">
        <v>45384</v>
      </c>
      <c r="C96">
        <v>2188</v>
      </c>
      <c r="D96" t="s">
        <v>54</v>
      </c>
      <c r="E96" t="s">
        <v>8</v>
      </c>
      <c r="F96">
        <v>222</v>
      </c>
      <c r="I96" t="b">
        <v>0</v>
      </c>
      <c r="K96" s="1">
        <f t="shared" si="2"/>
        <v>45382</v>
      </c>
      <c r="L96">
        <f t="shared" si="3"/>
        <v>222</v>
      </c>
    </row>
    <row r="97" spans="1:12" hidden="1" x14ac:dyDescent="0.3">
      <c r="A97" s="1">
        <v>45383</v>
      </c>
      <c r="B97" s="1">
        <v>45385</v>
      </c>
      <c r="C97">
        <v>2188</v>
      </c>
      <c r="D97" t="s">
        <v>55</v>
      </c>
      <c r="E97" t="s">
        <v>9</v>
      </c>
      <c r="F97">
        <v>333</v>
      </c>
      <c r="I97" t="b">
        <v>0</v>
      </c>
      <c r="K97" s="1">
        <f t="shared" si="2"/>
        <v>45383</v>
      </c>
      <c r="L97">
        <f t="shared" si="3"/>
        <v>333</v>
      </c>
    </row>
    <row r="98" spans="1:12" hidden="1" x14ac:dyDescent="0.3">
      <c r="A98" s="1">
        <v>45384</v>
      </c>
      <c r="B98" s="1">
        <v>45386</v>
      </c>
      <c r="C98">
        <v>2188</v>
      </c>
      <c r="D98" t="s">
        <v>56</v>
      </c>
      <c r="E98" t="s">
        <v>8</v>
      </c>
      <c r="F98">
        <v>444</v>
      </c>
      <c r="I98" t="b">
        <v>0</v>
      </c>
      <c r="K98" s="1">
        <f t="shared" si="2"/>
        <v>45384</v>
      </c>
      <c r="L98">
        <f t="shared" si="3"/>
        <v>444</v>
      </c>
    </row>
    <row r="99" spans="1:12" hidden="1" x14ac:dyDescent="0.3">
      <c r="A99" s="1">
        <v>45385</v>
      </c>
      <c r="B99" s="1">
        <v>45387</v>
      </c>
      <c r="C99">
        <v>2188</v>
      </c>
      <c r="D99" t="s">
        <v>57</v>
      </c>
      <c r="E99" t="s">
        <v>10</v>
      </c>
      <c r="F99">
        <v>555</v>
      </c>
      <c r="I99" t="b">
        <v>0</v>
      </c>
      <c r="K99" s="1">
        <f t="shared" si="2"/>
        <v>45385</v>
      </c>
      <c r="L99">
        <f t="shared" si="3"/>
        <v>555</v>
      </c>
    </row>
    <row r="100" spans="1:12" hidden="1" x14ac:dyDescent="0.3">
      <c r="A100" s="1">
        <v>45386</v>
      </c>
      <c r="B100" s="1">
        <v>45388</v>
      </c>
      <c r="C100">
        <v>2188</v>
      </c>
      <c r="D100" t="s">
        <v>11</v>
      </c>
      <c r="E100" t="s">
        <v>12</v>
      </c>
      <c r="F100">
        <v>100</v>
      </c>
      <c r="I100" t="b">
        <v>0</v>
      </c>
      <c r="K100" s="1">
        <f t="shared" si="2"/>
        <v>45386</v>
      </c>
      <c r="L100">
        <f t="shared" si="3"/>
        <v>100</v>
      </c>
    </row>
    <row r="101" spans="1:12" hidden="1" x14ac:dyDescent="0.3">
      <c r="A101" s="1">
        <v>45387</v>
      </c>
      <c r="B101" s="1">
        <v>45389</v>
      </c>
      <c r="C101">
        <v>2188</v>
      </c>
      <c r="D101" t="s">
        <v>13</v>
      </c>
      <c r="E101" t="s">
        <v>8</v>
      </c>
      <c r="F101">
        <v>100</v>
      </c>
      <c r="I101" t="b">
        <v>0</v>
      </c>
      <c r="K101" s="1">
        <f t="shared" si="2"/>
        <v>45387</v>
      </c>
      <c r="L101">
        <f t="shared" si="3"/>
        <v>100</v>
      </c>
    </row>
    <row r="102" spans="1:12" hidden="1" x14ac:dyDescent="0.3">
      <c r="A102" s="1">
        <v>45388</v>
      </c>
      <c r="B102" s="1">
        <v>45390</v>
      </c>
      <c r="C102">
        <v>2188</v>
      </c>
      <c r="D102" t="s">
        <v>14</v>
      </c>
      <c r="E102" t="s">
        <v>12</v>
      </c>
      <c r="F102">
        <v>100</v>
      </c>
      <c r="I102" t="b">
        <v>0</v>
      </c>
      <c r="K102" s="1">
        <f t="shared" si="2"/>
        <v>45388</v>
      </c>
      <c r="L102">
        <f t="shared" si="3"/>
        <v>100</v>
      </c>
    </row>
    <row r="103" spans="1:12" hidden="1" x14ac:dyDescent="0.3">
      <c r="A103" s="1">
        <v>45389</v>
      </c>
      <c r="B103" s="1">
        <v>45391</v>
      </c>
      <c r="C103">
        <v>2188</v>
      </c>
      <c r="D103" t="s">
        <v>15</v>
      </c>
      <c r="E103" t="s">
        <v>16</v>
      </c>
      <c r="F103">
        <v>100</v>
      </c>
      <c r="I103" t="b">
        <v>0</v>
      </c>
      <c r="K103" s="1">
        <f t="shared" si="2"/>
        <v>45389</v>
      </c>
      <c r="L103">
        <f t="shared" si="3"/>
        <v>100</v>
      </c>
    </row>
    <row r="104" spans="1:12" hidden="1" x14ac:dyDescent="0.3">
      <c r="A104" s="1">
        <v>45390</v>
      </c>
      <c r="B104" s="1">
        <v>45392</v>
      </c>
      <c r="C104">
        <v>2188</v>
      </c>
      <c r="D104" t="s">
        <v>17</v>
      </c>
      <c r="E104" t="s">
        <v>18</v>
      </c>
      <c r="F104">
        <v>100</v>
      </c>
      <c r="I104" t="b">
        <v>0</v>
      </c>
      <c r="K104" s="1">
        <f t="shared" si="2"/>
        <v>45390</v>
      </c>
      <c r="L104">
        <f t="shared" si="3"/>
        <v>100</v>
      </c>
    </row>
    <row r="105" spans="1:12" hidden="1" x14ac:dyDescent="0.3">
      <c r="A105" s="1">
        <v>45391</v>
      </c>
      <c r="B105" s="1">
        <v>45393</v>
      </c>
      <c r="C105">
        <v>2188</v>
      </c>
      <c r="D105" t="s">
        <v>19</v>
      </c>
      <c r="E105" t="s">
        <v>7</v>
      </c>
      <c r="F105">
        <v>100</v>
      </c>
      <c r="I105" t="b">
        <v>0</v>
      </c>
      <c r="K105" s="1">
        <f t="shared" si="2"/>
        <v>45391</v>
      </c>
      <c r="L105">
        <f t="shared" si="3"/>
        <v>100</v>
      </c>
    </row>
    <row r="106" spans="1:12" hidden="1" x14ac:dyDescent="0.3">
      <c r="A106" s="1">
        <v>45392</v>
      </c>
      <c r="B106" s="1">
        <v>45394</v>
      </c>
      <c r="C106">
        <v>2188</v>
      </c>
      <c r="D106" t="s">
        <v>20</v>
      </c>
      <c r="E106" t="s">
        <v>12</v>
      </c>
      <c r="F106">
        <v>100</v>
      </c>
      <c r="I106" t="b">
        <v>0</v>
      </c>
      <c r="K106" s="1">
        <f t="shared" si="2"/>
        <v>45392</v>
      </c>
      <c r="L106">
        <f t="shared" si="3"/>
        <v>100</v>
      </c>
    </row>
    <row r="107" spans="1:12" hidden="1" x14ac:dyDescent="0.3">
      <c r="A107" s="1">
        <v>45393</v>
      </c>
      <c r="B107" s="1">
        <v>45395</v>
      </c>
      <c r="C107">
        <v>2188</v>
      </c>
      <c r="D107" t="s">
        <v>21</v>
      </c>
      <c r="E107" t="s">
        <v>22</v>
      </c>
      <c r="G107">
        <v>100</v>
      </c>
      <c r="I107" t="b">
        <v>0</v>
      </c>
      <c r="K107" s="1">
        <f t="shared" si="2"/>
        <v>45393</v>
      </c>
      <c r="L107">
        <f t="shared" si="3"/>
        <v>-100</v>
      </c>
    </row>
    <row r="108" spans="1:12" hidden="1" x14ac:dyDescent="0.3">
      <c r="A108" s="1">
        <v>45394</v>
      </c>
      <c r="B108" s="1">
        <v>45396</v>
      </c>
      <c r="C108">
        <v>2188</v>
      </c>
      <c r="D108" t="s">
        <v>23</v>
      </c>
      <c r="E108" t="s">
        <v>8</v>
      </c>
      <c r="F108">
        <v>100</v>
      </c>
      <c r="I108" t="b">
        <v>0</v>
      </c>
      <c r="K108" s="1">
        <f t="shared" si="2"/>
        <v>45394</v>
      </c>
      <c r="L108">
        <f t="shared" si="3"/>
        <v>100</v>
      </c>
    </row>
    <row r="109" spans="1:12" hidden="1" x14ac:dyDescent="0.3">
      <c r="A109" s="1">
        <v>45395</v>
      </c>
      <c r="B109" s="1">
        <v>45397</v>
      </c>
      <c r="C109">
        <v>2188</v>
      </c>
      <c r="D109" t="s">
        <v>24</v>
      </c>
      <c r="E109" t="s">
        <v>8</v>
      </c>
      <c r="F109">
        <v>100</v>
      </c>
      <c r="I109" t="b">
        <v>0</v>
      </c>
      <c r="K109" s="1">
        <f t="shared" si="2"/>
        <v>45395</v>
      </c>
      <c r="L109">
        <f t="shared" si="3"/>
        <v>100</v>
      </c>
    </row>
    <row r="110" spans="1:12" hidden="1" x14ac:dyDescent="0.3">
      <c r="A110" s="1">
        <v>45396</v>
      </c>
      <c r="B110" s="1">
        <v>45398</v>
      </c>
      <c r="C110">
        <v>2188</v>
      </c>
      <c r="D110" t="s">
        <v>25</v>
      </c>
      <c r="E110" t="s">
        <v>12</v>
      </c>
      <c r="F110">
        <v>100</v>
      </c>
      <c r="I110" t="b">
        <v>0</v>
      </c>
      <c r="K110" s="1">
        <f t="shared" si="2"/>
        <v>45396</v>
      </c>
      <c r="L110">
        <f t="shared" si="3"/>
        <v>100</v>
      </c>
    </row>
    <row r="111" spans="1:12" hidden="1" x14ac:dyDescent="0.3">
      <c r="A111" s="1">
        <v>45397</v>
      </c>
      <c r="B111" s="1">
        <v>45399</v>
      </c>
      <c r="C111">
        <v>2188</v>
      </c>
      <c r="D111" t="s">
        <v>26</v>
      </c>
      <c r="E111" t="s">
        <v>12</v>
      </c>
      <c r="F111">
        <v>100</v>
      </c>
      <c r="H111" t="b">
        <v>1</v>
      </c>
      <c r="I111" t="b">
        <v>0</v>
      </c>
      <c r="K111" s="1">
        <f t="shared" si="2"/>
        <v>45397</v>
      </c>
      <c r="L111">
        <f t="shared" si="3"/>
        <v>0</v>
      </c>
    </row>
    <row r="112" spans="1:12" hidden="1" x14ac:dyDescent="0.3">
      <c r="A112" s="1">
        <v>45398</v>
      </c>
      <c r="B112" s="1">
        <v>45400</v>
      </c>
      <c r="C112">
        <v>2188</v>
      </c>
      <c r="D112" t="s">
        <v>27</v>
      </c>
      <c r="E112" t="s">
        <v>12</v>
      </c>
      <c r="F112">
        <v>100</v>
      </c>
      <c r="I112" t="b">
        <v>0</v>
      </c>
      <c r="K112" s="1">
        <f t="shared" si="2"/>
        <v>45398</v>
      </c>
      <c r="L112">
        <f t="shared" si="3"/>
        <v>100</v>
      </c>
    </row>
    <row r="113" spans="1:12" hidden="1" x14ac:dyDescent="0.3">
      <c r="A113" s="1">
        <v>45399</v>
      </c>
      <c r="B113" s="1">
        <v>45401</v>
      </c>
      <c r="C113">
        <v>2188</v>
      </c>
      <c r="D113" t="s">
        <v>28</v>
      </c>
      <c r="E113" t="s">
        <v>12</v>
      </c>
      <c r="F113">
        <v>100</v>
      </c>
      <c r="I113" t="b">
        <v>0</v>
      </c>
      <c r="K113" s="1">
        <f t="shared" si="2"/>
        <v>45399</v>
      </c>
      <c r="L113">
        <f t="shared" si="3"/>
        <v>100</v>
      </c>
    </row>
    <row r="114" spans="1:12" hidden="1" x14ac:dyDescent="0.3">
      <c r="A114" s="1">
        <v>45400</v>
      </c>
      <c r="B114" s="1">
        <v>45402</v>
      </c>
      <c r="C114">
        <v>2188</v>
      </c>
      <c r="D114" t="s">
        <v>29</v>
      </c>
      <c r="E114" t="s">
        <v>12</v>
      </c>
      <c r="F114">
        <v>100</v>
      </c>
      <c r="I114" t="b">
        <v>0</v>
      </c>
      <c r="K114" s="1">
        <f t="shared" si="2"/>
        <v>45400</v>
      </c>
      <c r="L114">
        <f t="shared" si="3"/>
        <v>100</v>
      </c>
    </row>
    <row r="115" spans="1:12" hidden="1" x14ac:dyDescent="0.3">
      <c r="A115" s="1">
        <v>45401</v>
      </c>
      <c r="B115" s="1">
        <v>45403</v>
      </c>
      <c r="C115">
        <v>2188</v>
      </c>
      <c r="D115" t="s">
        <v>30</v>
      </c>
      <c r="E115" t="s">
        <v>12</v>
      </c>
      <c r="F115">
        <v>100</v>
      </c>
      <c r="I115" t="b">
        <v>0</v>
      </c>
      <c r="K115" s="1">
        <f t="shared" si="2"/>
        <v>45401</v>
      </c>
      <c r="L115">
        <f t="shared" si="3"/>
        <v>100</v>
      </c>
    </row>
    <row r="116" spans="1:12" hidden="1" x14ac:dyDescent="0.3">
      <c r="A116" s="1">
        <v>45402</v>
      </c>
      <c r="B116" s="1">
        <v>45404</v>
      </c>
      <c r="C116">
        <v>2188</v>
      </c>
      <c r="D116" t="s">
        <v>31</v>
      </c>
      <c r="E116" t="s">
        <v>12</v>
      </c>
      <c r="F116">
        <v>100</v>
      </c>
      <c r="I116" t="b">
        <v>0</v>
      </c>
      <c r="K116" s="1">
        <f t="shared" si="2"/>
        <v>45402</v>
      </c>
      <c r="L116">
        <f t="shared" si="3"/>
        <v>100</v>
      </c>
    </row>
    <row r="117" spans="1:12" hidden="1" x14ac:dyDescent="0.3">
      <c r="A117" s="1">
        <v>45403</v>
      </c>
      <c r="B117" s="1">
        <v>45405</v>
      </c>
      <c r="C117">
        <v>2188</v>
      </c>
      <c r="D117" t="s">
        <v>32</v>
      </c>
      <c r="E117" t="s">
        <v>12</v>
      </c>
      <c r="F117">
        <v>100</v>
      </c>
      <c r="I117" t="b">
        <v>0</v>
      </c>
      <c r="K117" s="1">
        <f t="shared" si="2"/>
        <v>45403</v>
      </c>
      <c r="L117">
        <f t="shared" si="3"/>
        <v>100</v>
      </c>
    </row>
    <row r="118" spans="1:12" hidden="1" x14ac:dyDescent="0.3">
      <c r="A118" s="1">
        <v>45404</v>
      </c>
      <c r="B118" s="1">
        <v>45406</v>
      </c>
      <c r="C118">
        <v>2188</v>
      </c>
      <c r="D118" t="s">
        <v>33</v>
      </c>
      <c r="E118" t="s">
        <v>12</v>
      </c>
      <c r="F118">
        <v>100</v>
      </c>
      <c r="I118" t="b">
        <v>0</v>
      </c>
      <c r="K118" s="1">
        <f t="shared" si="2"/>
        <v>45404</v>
      </c>
      <c r="L118">
        <f t="shared" si="3"/>
        <v>100</v>
      </c>
    </row>
    <row r="119" spans="1:12" hidden="1" x14ac:dyDescent="0.3">
      <c r="A119" s="1">
        <v>45405</v>
      </c>
      <c r="B119" s="1">
        <v>45407</v>
      </c>
      <c r="C119">
        <v>2188</v>
      </c>
      <c r="D119" t="s">
        <v>34</v>
      </c>
      <c r="E119" t="s">
        <v>12</v>
      </c>
      <c r="F119">
        <v>100</v>
      </c>
      <c r="I119" t="b">
        <v>0</v>
      </c>
      <c r="K119" s="1">
        <f t="shared" si="2"/>
        <v>45405</v>
      </c>
      <c r="L119">
        <f t="shared" si="3"/>
        <v>100</v>
      </c>
    </row>
    <row r="120" spans="1:12" hidden="1" x14ac:dyDescent="0.3">
      <c r="A120" s="1">
        <v>45406</v>
      </c>
      <c r="B120" s="1">
        <v>45408</v>
      </c>
      <c r="C120">
        <v>2188</v>
      </c>
      <c r="D120" t="s">
        <v>35</v>
      </c>
      <c r="E120" t="s">
        <v>12</v>
      </c>
      <c r="F120">
        <v>100</v>
      </c>
      <c r="I120" t="b">
        <v>0</v>
      </c>
      <c r="K120" s="1">
        <f t="shared" si="2"/>
        <v>45406</v>
      </c>
      <c r="L120">
        <f t="shared" si="3"/>
        <v>100</v>
      </c>
    </row>
    <row r="121" spans="1:12" hidden="1" x14ac:dyDescent="0.3">
      <c r="A121" s="1">
        <v>45407</v>
      </c>
      <c r="B121" s="1">
        <v>45409</v>
      </c>
      <c r="C121">
        <v>2188</v>
      </c>
      <c r="D121" t="s">
        <v>36</v>
      </c>
      <c r="E121" t="s">
        <v>37</v>
      </c>
      <c r="F121">
        <v>100</v>
      </c>
      <c r="I121" t="b">
        <v>0</v>
      </c>
      <c r="K121" s="1">
        <f t="shared" si="2"/>
        <v>45407</v>
      </c>
      <c r="L121">
        <f t="shared" si="3"/>
        <v>100</v>
      </c>
    </row>
    <row r="122" spans="1:12" hidden="1" x14ac:dyDescent="0.3">
      <c r="A122" s="1">
        <v>45408</v>
      </c>
      <c r="B122" s="1">
        <v>45410</v>
      </c>
      <c r="C122">
        <v>2188</v>
      </c>
      <c r="D122" t="s">
        <v>38</v>
      </c>
      <c r="E122" t="s">
        <v>12</v>
      </c>
      <c r="F122">
        <v>100</v>
      </c>
      <c r="I122" t="b">
        <v>0</v>
      </c>
      <c r="K122" s="1">
        <f t="shared" si="2"/>
        <v>45408</v>
      </c>
      <c r="L122">
        <f t="shared" si="3"/>
        <v>100</v>
      </c>
    </row>
    <row r="123" spans="1:12" hidden="1" x14ac:dyDescent="0.3">
      <c r="A123" s="1">
        <v>45409</v>
      </c>
      <c r="B123" s="1">
        <v>45411</v>
      </c>
      <c r="C123">
        <v>2188</v>
      </c>
      <c r="D123" t="s">
        <v>39</v>
      </c>
      <c r="E123" t="s">
        <v>8</v>
      </c>
      <c r="F123">
        <v>100</v>
      </c>
      <c r="I123" t="b">
        <v>0</v>
      </c>
      <c r="K123" s="1">
        <f t="shared" si="2"/>
        <v>45409</v>
      </c>
      <c r="L123">
        <f t="shared" si="3"/>
        <v>100</v>
      </c>
    </row>
    <row r="124" spans="1:12" hidden="1" x14ac:dyDescent="0.3">
      <c r="A124" s="1">
        <v>45410</v>
      </c>
      <c r="B124" s="1">
        <v>45412</v>
      </c>
      <c r="C124">
        <v>2188</v>
      </c>
      <c r="D124" t="s">
        <v>40</v>
      </c>
      <c r="E124" t="s">
        <v>41</v>
      </c>
      <c r="F124">
        <v>100</v>
      </c>
      <c r="I124" t="b">
        <v>0</v>
      </c>
      <c r="K124" s="1">
        <f t="shared" si="2"/>
        <v>45410</v>
      </c>
      <c r="L124">
        <f t="shared" si="3"/>
        <v>100</v>
      </c>
    </row>
    <row r="125" spans="1:12" hidden="1" x14ac:dyDescent="0.3">
      <c r="A125" s="1">
        <v>45411</v>
      </c>
      <c r="B125" s="1">
        <v>45412</v>
      </c>
      <c r="C125">
        <v>2188</v>
      </c>
      <c r="D125" t="s">
        <v>42</v>
      </c>
      <c r="E125" t="s">
        <v>41</v>
      </c>
      <c r="F125">
        <v>100</v>
      </c>
      <c r="I125" t="b">
        <v>0</v>
      </c>
      <c r="K125" s="1">
        <f t="shared" si="2"/>
        <v>45411</v>
      </c>
      <c r="L125">
        <f t="shared" si="3"/>
        <v>100</v>
      </c>
    </row>
  </sheetData>
  <autoFilter ref="A1:L125" xr:uid="{3618C5E4-CC24-40E3-A1A2-E33718B76FFE}">
    <filterColumn colId="3">
      <filters>
        <filter val="Apples 1"/>
      </filters>
    </filterColumn>
    <filterColumn colId="10">
      <filters>
        <dateGroupItem year="2024" month="1" dateTimeGrouping="mont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32CD-87D7-4EE8-A684-5FF80CAD2014}">
  <sheetPr filterMode="1"/>
  <dimension ref="A1:N125"/>
  <sheetViews>
    <sheetView workbookViewId="0">
      <selection activeCell="D134" sqref="D134"/>
    </sheetView>
  </sheetViews>
  <sheetFormatPr defaultRowHeight="14.4" x14ac:dyDescent="0.3"/>
  <cols>
    <col min="1" max="1" width="10.88671875" style="1" bestFit="1" customWidth="1"/>
    <col min="2" max="2" width="8.21875" bestFit="1" customWidth="1"/>
    <col min="3" max="3" width="10.21875" bestFit="1" customWidth="1"/>
    <col min="4" max="4" width="18.21875" bestFit="1" customWidth="1"/>
    <col min="5" max="5" width="5.33203125" bestFit="1" customWidth="1"/>
    <col min="6" max="6" width="5.88671875" bestFit="1" customWidth="1"/>
    <col min="7" max="7" width="5.88671875" customWidth="1"/>
    <col min="8" max="8" width="11.88671875" bestFit="1" customWidth="1"/>
    <col min="10" max="10" width="9.5546875" bestFit="1" customWidth="1"/>
    <col min="11" max="11" width="17" bestFit="1" customWidth="1"/>
  </cols>
  <sheetData>
    <row r="1" spans="1:14" x14ac:dyDescent="0.3">
      <c r="A1" s="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64</v>
      </c>
      <c r="H1" s="9" t="s">
        <v>50</v>
      </c>
      <c r="I1" s="9" t="s">
        <v>51</v>
      </c>
      <c r="J1" s="9" t="s">
        <v>52</v>
      </c>
      <c r="K1" s="9" t="s">
        <v>59</v>
      </c>
    </row>
    <row r="2" spans="1:14" hidden="1" x14ac:dyDescent="0.3">
      <c r="A2" s="1">
        <v>45292</v>
      </c>
      <c r="B2">
        <v>2188</v>
      </c>
      <c r="C2" t="s">
        <v>53</v>
      </c>
      <c r="D2" t="s">
        <v>7</v>
      </c>
      <c r="E2">
        <v>111</v>
      </c>
      <c r="H2" t="b">
        <v>0</v>
      </c>
      <c r="J2" s="1">
        <f>IF(H2=FALSE, A2, I2)</f>
        <v>45292</v>
      </c>
      <c r="K2">
        <f>IF(G2=FALSE, E2-F2, 0)</f>
        <v>111</v>
      </c>
      <c r="N2">
        <f>COUNTA(A2:A125)</f>
        <v>124</v>
      </c>
    </row>
    <row r="3" spans="1:14" x14ac:dyDescent="0.3">
      <c r="A3" s="1">
        <v>45293</v>
      </c>
      <c r="B3">
        <v>2188</v>
      </c>
      <c r="C3" t="s">
        <v>54</v>
      </c>
      <c r="D3" t="s">
        <v>8</v>
      </c>
      <c r="E3">
        <v>-222</v>
      </c>
      <c r="H3" t="b">
        <v>0</v>
      </c>
      <c r="J3" s="1">
        <f t="shared" ref="J3:J66" si="0">IF(H3=FALSE, A3, I3)</f>
        <v>45293</v>
      </c>
      <c r="K3">
        <f t="shared" ref="K3:K66" si="1">IF(G3=FALSE, E3-F3, 0)</f>
        <v>-222</v>
      </c>
    </row>
    <row r="4" spans="1:14" hidden="1" x14ac:dyDescent="0.3">
      <c r="A4" s="1">
        <v>45294</v>
      </c>
      <c r="B4">
        <v>2188</v>
      </c>
      <c r="C4" t="s">
        <v>55</v>
      </c>
      <c r="D4" t="s">
        <v>9</v>
      </c>
      <c r="E4">
        <v>333</v>
      </c>
      <c r="H4" t="b">
        <v>0</v>
      </c>
      <c r="J4" s="1">
        <f t="shared" si="0"/>
        <v>45294</v>
      </c>
      <c r="K4">
        <f t="shared" si="1"/>
        <v>333</v>
      </c>
    </row>
    <row r="5" spans="1:14" hidden="1" x14ac:dyDescent="0.3">
      <c r="A5" s="1">
        <v>45295</v>
      </c>
      <c r="B5">
        <v>2188</v>
      </c>
      <c r="C5" t="s">
        <v>56</v>
      </c>
      <c r="D5" t="s">
        <v>8</v>
      </c>
      <c r="E5">
        <v>-444</v>
      </c>
      <c r="H5" t="b">
        <v>0</v>
      </c>
      <c r="J5" s="1">
        <f t="shared" si="0"/>
        <v>45295</v>
      </c>
      <c r="K5">
        <f t="shared" si="1"/>
        <v>-444</v>
      </c>
    </row>
    <row r="6" spans="1:14" hidden="1" x14ac:dyDescent="0.3">
      <c r="A6" s="1">
        <v>45296</v>
      </c>
      <c r="B6">
        <v>2188</v>
      </c>
      <c r="C6" t="s">
        <v>57</v>
      </c>
      <c r="D6" t="s">
        <v>10</v>
      </c>
      <c r="E6">
        <v>555</v>
      </c>
      <c r="H6" t="b">
        <v>0</v>
      </c>
      <c r="J6" s="1">
        <f t="shared" si="0"/>
        <v>45296</v>
      </c>
      <c r="K6">
        <f t="shared" si="1"/>
        <v>555</v>
      </c>
    </row>
    <row r="7" spans="1:14" hidden="1" x14ac:dyDescent="0.3">
      <c r="A7" s="1">
        <v>45297</v>
      </c>
      <c r="B7">
        <v>2188</v>
      </c>
      <c r="C7" t="s">
        <v>11</v>
      </c>
      <c r="D7" t="s">
        <v>12</v>
      </c>
      <c r="E7">
        <v>-100</v>
      </c>
      <c r="H7" t="b">
        <v>0</v>
      </c>
      <c r="J7" s="1">
        <f t="shared" si="0"/>
        <v>45297</v>
      </c>
      <c r="K7">
        <f t="shared" si="1"/>
        <v>-100</v>
      </c>
    </row>
    <row r="8" spans="1:14" hidden="1" x14ac:dyDescent="0.3">
      <c r="A8" s="1">
        <v>45298</v>
      </c>
      <c r="B8">
        <v>2188</v>
      </c>
      <c r="C8" t="s">
        <v>13</v>
      </c>
      <c r="D8" t="s">
        <v>8</v>
      </c>
      <c r="E8">
        <v>100</v>
      </c>
      <c r="H8" t="b">
        <v>0</v>
      </c>
      <c r="J8" s="1">
        <f t="shared" si="0"/>
        <v>45298</v>
      </c>
      <c r="K8">
        <f t="shared" si="1"/>
        <v>100</v>
      </c>
    </row>
    <row r="9" spans="1:14" hidden="1" x14ac:dyDescent="0.3">
      <c r="A9" s="1">
        <v>45299</v>
      </c>
      <c r="B9">
        <v>2188</v>
      </c>
      <c r="C9" t="s">
        <v>14</v>
      </c>
      <c r="D9" t="s">
        <v>12</v>
      </c>
      <c r="E9">
        <v>-100</v>
      </c>
      <c r="H9" t="b">
        <v>0</v>
      </c>
      <c r="J9" s="1">
        <f t="shared" si="0"/>
        <v>45299</v>
      </c>
      <c r="K9">
        <f t="shared" si="1"/>
        <v>-100</v>
      </c>
    </row>
    <row r="10" spans="1:14" hidden="1" x14ac:dyDescent="0.3">
      <c r="A10" s="1">
        <v>45300</v>
      </c>
      <c r="B10">
        <v>2188</v>
      </c>
      <c r="C10" t="s">
        <v>15</v>
      </c>
      <c r="D10" t="s">
        <v>16</v>
      </c>
      <c r="E10">
        <v>100</v>
      </c>
      <c r="H10" t="b">
        <v>0</v>
      </c>
      <c r="J10" s="1">
        <f t="shared" si="0"/>
        <v>45300</v>
      </c>
      <c r="K10">
        <f t="shared" si="1"/>
        <v>100</v>
      </c>
    </row>
    <row r="11" spans="1:14" hidden="1" x14ac:dyDescent="0.3">
      <c r="A11" s="1">
        <v>45301</v>
      </c>
      <c r="B11">
        <v>2188</v>
      </c>
      <c r="C11" t="s">
        <v>17</v>
      </c>
      <c r="D11" t="s">
        <v>18</v>
      </c>
      <c r="E11">
        <v>-100</v>
      </c>
      <c r="H11" t="b">
        <v>0</v>
      </c>
      <c r="J11" s="1">
        <f t="shared" si="0"/>
        <v>45301</v>
      </c>
      <c r="K11">
        <f t="shared" si="1"/>
        <v>-100</v>
      </c>
    </row>
    <row r="12" spans="1:14" hidden="1" x14ac:dyDescent="0.3">
      <c r="A12" s="1">
        <v>45302</v>
      </c>
      <c r="B12">
        <v>2188</v>
      </c>
      <c r="C12" t="s">
        <v>19</v>
      </c>
      <c r="D12" t="s">
        <v>7</v>
      </c>
      <c r="E12">
        <v>100</v>
      </c>
      <c r="H12" t="b">
        <v>0</v>
      </c>
      <c r="J12" s="1">
        <f t="shared" si="0"/>
        <v>45302</v>
      </c>
      <c r="K12">
        <f t="shared" si="1"/>
        <v>100</v>
      </c>
    </row>
    <row r="13" spans="1:14" hidden="1" x14ac:dyDescent="0.3">
      <c r="A13" s="1">
        <v>45303</v>
      </c>
      <c r="B13">
        <v>2188</v>
      </c>
      <c r="C13" t="s">
        <v>20</v>
      </c>
      <c r="D13" t="s">
        <v>12</v>
      </c>
      <c r="E13">
        <v>-100</v>
      </c>
      <c r="H13" t="b">
        <v>0</v>
      </c>
      <c r="J13" s="1">
        <f t="shared" si="0"/>
        <v>45303</v>
      </c>
      <c r="K13">
        <f t="shared" si="1"/>
        <v>-100</v>
      </c>
    </row>
    <row r="14" spans="1:14" hidden="1" x14ac:dyDescent="0.3">
      <c r="A14" s="1">
        <v>45304</v>
      </c>
      <c r="B14">
        <v>2188</v>
      </c>
      <c r="C14" t="s">
        <v>21</v>
      </c>
      <c r="D14" t="s">
        <v>22</v>
      </c>
      <c r="E14">
        <v>7475</v>
      </c>
      <c r="H14" t="b">
        <v>0</v>
      </c>
      <c r="J14" s="1">
        <f t="shared" si="0"/>
        <v>45304</v>
      </c>
      <c r="K14">
        <f t="shared" si="1"/>
        <v>7475</v>
      </c>
    </row>
    <row r="15" spans="1:14" hidden="1" x14ac:dyDescent="0.3">
      <c r="A15" s="1">
        <v>45305</v>
      </c>
      <c r="B15">
        <v>2188</v>
      </c>
      <c r="C15" t="s">
        <v>23</v>
      </c>
      <c r="D15" t="s">
        <v>8</v>
      </c>
      <c r="E15">
        <v>-100</v>
      </c>
      <c r="H15" t="b">
        <v>0</v>
      </c>
      <c r="J15" s="1">
        <f t="shared" si="0"/>
        <v>45305</v>
      </c>
      <c r="K15">
        <f t="shared" si="1"/>
        <v>-100</v>
      </c>
    </row>
    <row r="16" spans="1:14" hidden="1" x14ac:dyDescent="0.3">
      <c r="A16" s="1">
        <v>45306</v>
      </c>
      <c r="B16">
        <v>2188</v>
      </c>
      <c r="C16" t="s">
        <v>24</v>
      </c>
      <c r="D16" t="s">
        <v>8</v>
      </c>
      <c r="E16">
        <v>100</v>
      </c>
      <c r="H16" t="b">
        <v>0</v>
      </c>
      <c r="J16" s="1">
        <f t="shared" si="0"/>
        <v>45306</v>
      </c>
      <c r="K16">
        <f t="shared" si="1"/>
        <v>100</v>
      </c>
    </row>
    <row r="17" spans="1:11" hidden="1" x14ac:dyDescent="0.3">
      <c r="A17" s="1">
        <v>45307</v>
      </c>
      <c r="B17">
        <v>2188</v>
      </c>
      <c r="C17" t="s">
        <v>25</v>
      </c>
      <c r="D17" t="s">
        <v>12</v>
      </c>
      <c r="E17">
        <v>-100</v>
      </c>
      <c r="H17" t="b">
        <v>0</v>
      </c>
      <c r="J17" s="1">
        <f t="shared" si="0"/>
        <v>45307</v>
      </c>
      <c r="K17">
        <f t="shared" si="1"/>
        <v>-100</v>
      </c>
    </row>
    <row r="18" spans="1:11" hidden="1" x14ac:dyDescent="0.3">
      <c r="A18" s="1">
        <v>45308</v>
      </c>
      <c r="B18">
        <v>2188</v>
      </c>
      <c r="C18" t="s">
        <v>26</v>
      </c>
      <c r="D18" t="s">
        <v>12</v>
      </c>
      <c r="E18">
        <v>100</v>
      </c>
      <c r="G18" t="b">
        <v>1</v>
      </c>
      <c r="H18" t="b">
        <v>0</v>
      </c>
      <c r="J18" s="1">
        <f t="shared" si="0"/>
        <v>45308</v>
      </c>
      <c r="K18">
        <f t="shared" si="1"/>
        <v>0</v>
      </c>
    </row>
    <row r="19" spans="1:11" hidden="1" x14ac:dyDescent="0.3">
      <c r="A19" s="1">
        <v>45309</v>
      </c>
      <c r="B19">
        <v>2188</v>
      </c>
      <c r="C19" t="s">
        <v>27</v>
      </c>
      <c r="D19" t="s">
        <v>12</v>
      </c>
      <c r="E19">
        <v>-100</v>
      </c>
      <c r="H19" t="b">
        <v>0</v>
      </c>
      <c r="J19" s="1">
        <f t="shared" si="0"/>
        <v>45309</v>
      </c>
      <c r="K19">
        <f t="shared" si="1"/>
        <v>-100</v>
      </c>
    </row>
    <row r="20" spans="1:11" hidden="1" x14ac:dyDescent="0.3">
      <c r="A20" s="1">
        <v>45310</v>
      </c>
      <c r="B20">
        <v>2188</v>
      </c>
      <c r="C20" t="s">
        <v>28</v>
      </c>
      <c r="D20" t="s">
        <v>12</v>
      </c>
      <c r="E20">
        <v>100</v>
      </c>
      <c r="H20" t="b">
        <v>0</v>
      </c>
      <c r="J20" s="1">
        <f t="shared" si="0"/>
        <v>45310</v>
      </c>
      <c r="K20">
        <f t="shared" si="1"/>
        <v>100</v>
      </c>
    </row>
    <row r="21" spans="1:11" hidden="1" x14ac:dyDescent="0.3">
      <c r="A21" s="1">
        <v>45311</v>
      </c>
      <c r="B21">
        <v>2188</v>
      </c>
      <c r="C21" t="s">
        <v>29</v>
      </c>
      <c r="D21" t="s">
        <v>12</v>
      </c>
      <c r="E21">
        <v>-100</v>
      </c>
      <c r="H21" t="b">
        <v>0</v>
      </c>
      <c r="J21" s="1">
        <f t="shared" si="0"/>
        <v>45311</v>
      </c>
      <c r="K21">
        <f t="shared" si="1"/>
        <v>-100</v>
      </c>
    </row>
    <row r="22" spans="1:11" hidden="1" x14ac:dyDescent="0.3">
      <c r="A22" s="1">
        <v>45312</v>
      </c>
      <c r="B22">
        <v>2188</v>
      </c>
      <c r="C22" t="s">
        <v>30</v>
      </c>
      <c r="D22" t="s">
        <v>12</v>
      </c>
      <c r="E22">
        <v>100</v>
      </c>
      <c r="H22" t="b">
        <v>0</v>
      </c>
      <c r="J22" s="1">
        <f t="shared" si="0"/>
        <v>45312</v>
      </c>
      <c r="K22">
        <f t="shared" si="1"/>
        <v>100</v>
      </c>
    </row>
    <row r="23" spans="1:11" hidden="1" x14ac:dyDescent="0.3">
      <c r="A23" s="1">
        <v>45313</v>
      </c>
      <c r="B23">
        <v>2188</v>
      </c>
      <c r="C23" t="s">
        <v>31</v>
      </c>
      <c r="D23" t="s">
        <v>12</v>
      </c>
      <c r="E23">
        <v>-100</v>
      </c>
      <c r="H23" t="b">
        <v>0</v>
      </c>
      <c r="J23" s="1">
        <f t="shared" si="0"/>
        <v>45313</v>
      </c>
      <c r="K23">
        <f t="shared" si="1"/>
        <v>-100</v>
      </c>
    </row>
    <row r="24" spans="1:11" hidden="1" x14ac:dyDescent="0.3">
      <c r="A24" s="1">
        <v>45314</v>
      </c>
      <c r="B24">
        <v>2188</v>
      </c>
      <c r="C24" t="s">
        <v>32</v>
      </c>
      <c r="D24" t="s">
        <v>12</v>
      </c>
      <c r="E24">
        <v>100</v>
      </c>
      <c r="H24" t="b">
        <v>0</v>
      </c>
      <c r="J24" s="1">
        <f t="shared" si="0"/>
        <v>45314</v>
      </c>
      <c r="K24">
        <f t="shared" si="1"/>
        <v>100</v>
      </c>
    </row>
    <row r="25" spans="1:11" hidden="1" x14ac:dyDescent="0.3">
      <c r="A25" s="1">
        <v>45315</v>
      </c>
      <c r="B25">
        <v>2188</v>
      </c>
      <c r="C25" t="s">
        <v>33</v>
      </c>
      <c r="D25" t="s">
        <v>12</v>
      </c>
      <c r="E25">
        <v>-100</v>
      </c>
      <c r="H25" t="b">
        <v>0</v>
      </c>
      <c r="J25" s="1">
        <f t="shared" si="0"/>
        <v>45315</v>
      </c>
      <c r="K25">
        <f t="shared" si="1"/>
        <v>-100</v>
      </c>
    </row>
    <row r="26" spans="1:11" hidden="1" x14ac:dyDescent="0.3">
      <c r="A26" s="1">
        <v>45316</v>
      </c>
      <c r="B26">
        <v>2188</v>
      </c>
      <c r="C26" t="s">
        <v>34</v>
      </c>
      <c r="D26" t="s">
        <v>12</v>
      </c>
      <c r="E26">
        <v>100</v>
      </c>
      <c r="H26" t="b">
        <v>0</v>
      </c>
      <c r="J26" s="1">
        <f t="shared" si="0"/>
        <v>45316</v>
      </c>
      <c r="K26">
        <f t="shared" si="1"/>
        <v>100</v>
      </c>
    </row>
    <row r="27" spans="1:11" hidden="1" x14ac:dyDescent="0.3">
      <c r="A27" s="1">
        <v>45317</v>
      </c>
      <c r="B27">
        <v>2188</v>
      </c>
      <c r="C27" t="s">
        <v>35</v>
      </c>
      <c r="D27" t="s">
        <v>12</v>
      </c>
      <c r="E27">
        <v>-100</v>
      </c>
      <c r="H27" t="b">
        <v>0</v>
      </c>
      <c r="J27" s="1">
        <f t="shared" si="0"/>
        <v>45317</v>
      </c>
      <c r="K27">
        <f t="shared" si="1"/>
        <v>-100</v>
      </c>
    </row>
    <row r="28" spans="1:11" hidden="1" x14ac:dyDescent="0.3">
      <c r="A28" s="1">
        <v>45318</v>
      </c>
      <c r="B28">
        <v>2188</v>
      </c>
      <c r="C28" t="s">
        <v>36</v>
      </c>
      <c r="D28" t="s">
        <v>37</v>
      </c>
      <c r="E28">
        <v>100</v>
      </c>
      <c r="H28" t="b">
        <v>0</v>
      </c>
      <c r="J28" s="1">
        <f t="shared" si="0"/>
        <v>45318</v>
      </c>
      <c r="K28">
        <f t="shared" si="1"/>
        <v>100</v>
      </c>
    </row>
    <row r="29" spans="1:11" hidden="1" x14ac:dyDescent="0.3">
      <c r="A29" s="1">
        <v>45319</v>
      </c>
      <c r="B29">
        <v>2188</v>
      </c>
      <c r="C29" t="s">
        <v>38</v>
      </c>
      <c r="D29" t="s">
        <v>12</v>
      </c>
      <c r="E29">
        <v>-100</v>
      </c>
      <c r="H29" t="b">
        <v>0</v>
      </c>
      <c r="J29" s="1">
        <f t="shared" si="0"/>
        <v>45319</v>
      </c>
      <c r="K29">
        <f t="shared" si="1"/>
        <v>-100</v>
      </c>
    </row>
    <row r="30" spans="1:11" hidden="1" x14ac:dyDescent="0.3">
      <c r="A30" s="1">
        <v>45320</v>
      </c>
      <c r="B30">
        <v>2188</v>
      </c>
      <c r="C30" t="s">
        <v>39</v>
      </c>
      <c r="D30" t="s">
        <v>8</v>
      </c>
      <c r="E30">
        <v>100</v>
      </c>
      <c r="H30" t="b">
        <v>0</v>
      </c>
      <c r="J30" s="1">
        <f t="shared" si="0"/>
        <v>45320</v>
      </c>
      <c r="K30">
        <f t="shared" si="1"/>
        <v>100</v>
      </c>
    </row>
    <row r="31" spans="1:11" hidden="1" x14ac:dyDescent="0.3">
      <c r="A31" s="1">
        <v>45321</v>
      </c>
      <c r="B31">
        <v>2188</v>
      </c>
      <c r="C31" t="s">
        <v>40</v>
      </c>
      <c r="D31" t="s">
        <v>41</v>
      </c>
      <c r="E31">
        <v>-100</v>
      </c>
      <c r="H31" t="b">
        <v>0</v>
      </c>
      <c r="J31" s="1">
        <f t="shared" si="0"/>
        <v>45321</v>
      </c>
      <c r="K31">
        <f t="shared" si="1"/>
        <v>-100</v>
      </c>
    </row>
    <row r="32" spans="1:11" hidden="1" x14ac:dyDescent="0.3">
      <c r="A32" s="1">
        <v>45322</v>
      </c>
      <c r="B32">
        <v>2188</v>
      </c>
      <c r="C32" t="s">
        <v>42</v>
      </c>
      <c r="D32" t="s">
        <v>41</v>
      </c>
      <c r="E32">
        <v>100</v>
      </c>
      <c r="H32" t="b">
        <v>0</v>
      </c>
      <c r="J32" s="1">
        <f t="shared" si="0"/>
        <v>45322</v>
      </c>
      <c r="K32">
        <f t="shared" si="1"/>
        <v>100</v>
      </c>
    </row>
    <row r="33" spans="1:11" hidden="1" x14ac:dyDescent="0.3">
      <c r="A33" s="1">
        <v>45323</v>
      </c>
      <c r="B33">
        <v>2188</v>
      </c>
      <c r="C33" t="s">
        <v>53</v>
      </c>
      <c r="D33" t="s">
        <v>7</v>
      </c>
      <c r="E33">
        <v>111</v>
      </c>
      <c r="H33" t="b">
        <v>0</v>
      </c>
      <c r="J33" s="1">
        <f t="shared" si="0"/>
        <v>45323</v>
      </c>
      <c r="K33">
        <f t="shared" si="1"/>
        <v>111</v>
      </c>
    </row>
    <row r="34" spans="1:11" x14ac:dyDescent="0.3">
      <c r="A34" s="1">
        <v>45324</v>
      </c>
      <c r="B34">
        <v>2188</v>
      </c>
      <c r="C34" t="s">
        <v>54</v>
      </c>
      <c r="D34" t="s">
        <v>8</v>
      </c>
      <c r="E34">
        <v>-222</v>
      </c>
      <c r="H34" t="b">
        <v>0</v>
      </c>
      <c r="J34" s="1">
        <f t="shared" si="0"/>
        <v>45324</v>
      </c>
      <c r="K34">
        <f t="shared" si="1"/>
        <v>-222</v>
      </c>
    </row>
    <row r="35" spans="1:11" hidden="1" x14ac:dyDescent="0.3">
      <c r="A35" s="1">
        <v>45325</v>
      </c>
      <c r="B35">
        <v>2188</v>
      </c>
      <c r="C35" t="s">
        <v>55</v>
      </c>
      <c r="D35" t="s">
        <v>9</v>
      </c>
      <c r="E35">
        <v>333</v>
      </c>
      <c r="H35" t="b">
        <v>0</v>
      </c>
      <c r="J35" s="1">
        <f t="shared" si="0"/>
        <v>45325</v>
      </c>
      <c r="K35">
        <f t="shared" si="1"/>
        <v>333</v>
      </c>
    </row>
    <row r="36" spans="1:11" hidden="1" x14ac:dyDescent="0.3">
      <c r="A36" s="1">
        <v>45326</v>
      </c>
      <c r="B36">
        <v>2188</v>
      </c>
      <c r="C36" t="s">
        <v>56</v>
      </c>
      <c r="D36" t="s">
        <v>8</v>
      </c>
      <c r="E36">
        <v>-444</v>
      </c>
      <c r="H36" t="b">
        <v>0</v>
      </c>
      <c r="J36" s="1">
        <f t="shared" si="0"/>
        <v>45326</v>
      </c>
      <c r="K36">
        <f t="shared" si="1"/>
        <v>-444</v>
      </c>
    </row>
    <row r="37" spans="1:11" hidden="1" x14ac:dyDescent="0.3">
      <c r="A37" s="1">
        <v>45327</v>
      </c>
      <c r="B37">
        <v>2188</v>
      </c>
      <c r="C37" t="s">
        <v>57</v>
      </c>
      <c r="D37" t="s">
        <v>10</v>
      </c>
      <c r="E37">
        <v>555</v>
      </c>
      <c r="H37" t="b">
        <v>0</v>
      </c>
      <c r="J37" s="1">
        <f t="shared" si="0"/>
        <v>45327</v>
      </c>
      <c r="K37">
        <f t="shared" si="1"/>
        <v>555</v>
      </c>
    </row>
    <row r="38" spans="1:11" hidden="1" x14ac:dyDescent="0.3">
      <c r="A38" s="1">
        <v>45328</v>
      </c>
      <c r="B38">
        <v>2188</v>
      </c>
      <c r="C38" t="s">
        <v>11</v>
      </c>
      <c r="D38" t="s">
        <v>12</v>
      </c>
      <c r="E38">
        <v>-100</v>
      </c>
      <c r="H38" t="b">
        <v>0</v>
      </c>
      <c r="J38" s="1">
        <f t="shared" si="0"/>
        <v>45328</v>
      </c>
      <c r="K38">
        <f t="shared" si="1"/>
        <v>-100</v>
      </c>
    </row>
    <row r="39" spans="1:11" hidden="1" x14ac:dyDescent="0.3">
      <c r="A39" s="1">
        <v>45329</v>
      </c>
      <c r="B39">
        <v>2188</v>
      </c>
      <c r="C39" t="s">
        <v>13</v>
      </c>
      <c r="D39" t="s">
        <v>8</v>
      </c>
      <c r="E39">
        <v>100</v>
      </c>
      <c r="H39" t="b">
        <v>0</v>
      </c>
      <c r="J39" s="1">
        <f t="shared" si="0"/>
        <v>45329</v>
      </c>
      <c r="K39">
        <f t="shared" si="1"/>
        <v>100</v>
      </c>
    </row>
    <row r="40" spans="1:11" hidden="1" x14ac:dyDescent="0.3">
      <c r="A40" s="1">
        <v>45330</v>
      </c>
      <c r="B40">
        <v>2188</v>
      </c>
      <c r="C40" t="s">
        <v>14</v>
      </c>
      <c r="D40" t="s">
        <v>12</v>
      </c>
      <c r="E40">
        <v>-100</v>
      </c>
      <c r="H40" t="b">
        <v>0</v>
      </c>
      <c r="J40" s="1">
        <f t="shared" si="0"/>
        <v>45330</v>
      </c>
      <c r="K40">
        <f t="shared" si="1"/>
        <v>-100</v>
      </c>
    </row>
    <row r="41" spans="1:11" hidden="1" x14ac:dyDescent="0.3">
      <c r="A41" s="1">
        <v>45331</v>
      </c>
      <c r="B41">
        <v>2188</v>
      </c>
      <c r="C41" t="s">
        <v>15</v>
      </c>
      <c r="D41" t="s">
        <v>16</v>
      </c>
      <c r="E41">
        <v>100</v>
      </c>
      <c r="H41" t="b">
        <v>0</v>
      </c>
      <c r="J41" s="1">
        <f t="shared" si="0"/>
        <v>45331</v>
      </c>
      <c r="K41">
        <f t="shared" si="1"/>
        <v>100</v>
      </c>
    </row>
    <row r="42" spans="1:11" hidden="1" x14ac:dyDescent="0.3">
      <c r="A42" s="1">
        <v>45332</v>
      </c>
      <c r="B42">
        <v>2188</v>
      </c>
      <c r="C42" t="s">
        <v>17</v>
      </c>
      <c r="D42" t="s">
        <v>18</v>
      </c>
      <c r="E42">
        <v>-100</v>
      </c>
      <c r="H42" t="b">
        <v>0</v>
      </c>
      <c r="J42" s="1">
        <f t="shared" si="0"/>
        <v>45332</v>
      </c>
      <c r="K42">
        <f t="shared" si="1"/>
        <v>-100</v>
      </c>
    </row>
    <row r="43" spans="1:11" hidden="1" x14ac:dyDescent="0.3">
      <c r="A43" s="1">
        <v>45333</v>
      </c>
      <c r="B43">
        <v>2188</v>
      </c>
      <c r="C43" t="s">
        <v>19</v>
      </c>
      <c r="D43" t="s">
        <v>7</v>
      </c>
      <c r="E43">
        <v>100</v>
      </c>
      <c r="H43" t="b">
        <v>0</v>
      </c>
      <c r="J43" s="1">
        <f t="shared" si="0"/>
        <v>45333</v>
      </c>
      <c r="K43">
        <f t="shared" si="1"/>
        <v>100</v>
      </c>
    </row>
    <row r="44" spans="1:11" hidden="1" x14ac:dyDescent="0.3">
      <c r="A44" s="1">
        <v>45334</v>
      </c>
      <c r="B44">
        <v>2188</v>
      </c>
      <c r="C44" t="s">
        <v>20</v>
      </c>
      <c r="D44" t="s">
        <v>12</v>
      </c>
      <c r="E44">
        <v>-100</v>
      </c>
      <c r="H44" t="b">
        <v>0</v>
      </c>
      <c r="J44" s="1">
        <f t="shared" si="0"/>
        <v>45334</v>
      </c>
      <c r="K44">
        <f t="shared" si="1"/>
        <v>-100</v>
      </c>
    </row>
    <row r="45" spans="1:11" hidden="1" x14ac:dyDescent="0.3">
      <c r="A45" s="1">
        <v>45335</v>
      </c>
      <c r="B45">
        <v>2188</v>
      </c>
      <c r="C45" t="s">
        <v>21</v>
      </c>
      <c r="D45" t="s">
        <v>22</v>
      </c>
      <c r="E45">
        <v>3647</v>
      </c>
      <c r="H45" t="b">
        <v>0</v>
      </c>
      <c r="J45" s="1">
        <f t="shared" si="0"/>
        <v>45335</v>
      </c>
      <c r="K45">
        <f t="shared" si="1"/>
        <v>3647</v>
      </c>
    </row>
    <row r="46" spans="1:11" hidden="1" x14ac:dyDescent="0.3">
      <c r="A46" s="1">
        <v>45336</v>
      </c>
      <c r="B46">
        <v>2188</v>
      </c>
      <c r="C46" t="s">
        <v>23</v>
      </c>
      <c r="D46" t="s">
        <v>8</v>
      </c>
      <c r="E46">
        <v>-100</v>
      </c>
      <c r="H46" t="b">
        <v>0</v>
      </c>
      <c r="J46" s="1">
        <f t="shared" si="0"/>
        <v>45336</v>
      </c>
      <c r="K46">
        <f t="shared" si="1"/>
        <v>-100</v>
      </c>
    </row>
    <row r="47" spans="1:11" hidden="1" x14ac:dyDescent="0.3">
      <c r="A47" s="1">
        <v>45337</v>
      </c>
      <c r="B47">
        <v>2188</v>
      </c>
      <c r="C47" t="s">
        <v>24</v>
      </c>
      <c r="D47" t="s">
        <v>8</v>
      </c>
      <c r="E47">
        <v>100</v>
      </c>
      <c r="H47" t="b">
        <v>0</v>
      </c>
      <c r="J47" s="1">
        <f t="shared" si="0"/>
        <v>45337</v>
      </c>
      <c r="K47">
        <f t="shared" si="1"/>
        <v>100</v>
      </c>
    </row>
    <row r="48" spans="1:11" hidden="1" x14ac:dyDescent="0.3">
      <c r="A48" s="1">
        <v>45338</v>
      </c>
      <c r="B48">
        <v>2188</v>
      </c>
      <c r="C48" t="s">
        <v>25</v>
      </c>
      <c r="D48" t="s">
        <v>12</v>
      </c>
      <c r="E48">
        <v>-100</v>
      </c>
      <c r="H48" t="b">
        <v>0</v>
      </c>
      <c r="J48" s="1">
        <f t="shared" si="0"/>
        <v>45338</v>
      </c>
      <c r="K48">
        <f t="shared" si="1"/>
        <v>-100</v>
      </c>
    </row>
    <row r="49" spans="1:11" hidden="1" x14ac:dyDescent="0.3">
      <c r="A49" s="1">
        <v>45339</v>
      </c>
      <c r="B49">
        <v>2188</v>
      </c>
      <c r="C49" t="s">
        <v>26</v>
      </c>
      <c r="D49" t="s">
        <v>12</v>
      </c>
      <c r="E49">
        <v>100</v>
      </c>
      <c r="G49" t="b">
        <v>1</v>
      </c>
      <c r="H49" t="b">
        <v>0</v>
      </c>
      <c r="J49" s="1">
        <f t="shared" si="0"/>
        <v>45339</v>
      </c>
      <c r="K49">
        <f t="shared" si="1"/>
        <v>0</v>
      </c>
    </row>
    <row r="50" spans="1:11" hidden="1" x14ac:dyDescent="0.3">
      <c r="A50" s="1">
        <v>45340</v>
      </c>
      <c r="B50">
        <v>2188</v>
      </c>
      <c r="C50" t="s">
        <v>27</v>
      </c>
      <c r="D50" t="s">
        <v>12</v>
      </c>
      <c r="E50">
        <v>-100</v>
      </c>
      <c r="H50" t="b">
        <v>0</v>
      </c>
      <c r="J50" s="1">
        <f t="shared" si="0"/>
        <v>45340</v>
      </c>
      <c r="K50">
        <f t="shared" si="1"/>
        <v>-100</v>
      </c>
    </row>
    <row r="51" spans="1:11" hidden="1" x14ac:dyDescent="0.3">
      <c r="A51" s="1">
        <v>45341</v>
      </c>
      <c r="B51">
        <v>2188</v>
      </c>
      <c r="C51" t="s">
        <v>28</v>
      </c>
      <c r="D51" t="s">
        <v>12</v>
      </c>
      <c r="E51">
        <v>100</v>
      </c>
      <c r="H51" t="b">
        <v>0</v>
      </c>
      <c r="J51" s="1">
        <f t="shared" si="0"/>
        <v>45341</v>
      </c>
      <c r="K51">
        <f t="shared" si="1"/>
        <v>100</v>
      </c>
    </row>
    <row r="52" spans="1:11" hidden="1" x14ac:dyDescent="0.3">
      <c r="A52" s="1">
        <v>45342</v>
      </c>
      <c r="B52">
        <v>2188</v>
      </c>
      <c r="C52" t="s">
        <v>29</v>
      </c>
      <c r="D52" t="s">
        <v>12</v>
      </c>
      <c r="E52">
        <v>-100</v>
      </c>
      <c r="H52" t="b">
        <v>0</v>
      </c>
      <c r="J52" s="1">
        <f t="shared" si="0"/>
        <v>45342</v>
      </c>
      <c r="K52">
        <f t="shared" si="1"/>
        <v>-100</v>
      </c>
    </row>
    <row r="53" spans="1:11" hidden="1" x14ac:dyDescent="0.3">
      <c r="A53" s="1">
        <v>45343</v>
      </c>
      <c r="B53">
        <v>2188</v>
      </c>
      <c r="C53" t="s">
        <v>30</v>
      </c>
      <c r="D53" t="s">
        <v>12</v>
      </c>
      <c r="E53">
        <v>100</v>
      </c>
      <c r="H53" t="b">
        <v>0</v>
      </c>
      <c r="J53" s="1">
        <f t="shared" si="0"/>
        <v>45343</v>
      </c>
      <c r="K53">
        <f t="shared" si="1"/>
        <v>100</v>
      </c>
    </row>
    <row r="54" spans="1:11" hidden="1" x14ac:dyDescent="0.3">
      <c r="A54" s="1">
        <v>45344</v>
      </c>
      <c r="B54">
        <v>2188</v>
      </c>
      <c r="C54" t="s">
        <v>31</v>
      </c>
      <c r="D54" t="s">
        <v>12</v>
      </c>
      <c r="E54">
        <v>-100</v>
      </c>
      <c r="H54" t="b">
        <v>0</v>
      </c>
      <c r="J54" s="1">
        <f t="shared" si="0"/>
        <v>45344</v>
      </c>
      <c r="K54">
        <f t="shared" si="1"/>
        <v>-100</v>
      </c>
    </row>
    <row r="55" spans="1:11" hidden="1" x14ac:dyDescent="0.3">
      <c r="A55" s="1">
        <v>45345</v>
      </c>
      <c r="B55">
        <v>2188</v>
      </c>
      <c r="C55" t="s">
        <v>32</v>
      </c>
      <c r="D55" t="s">
        <v>12</v>
      </c>
      <c r="E55">
        <v>100</v>
      </c>
      <c r="H55" t="b">
        <v>0</v>
      </c>
      <c r="J55" s="1">
        <f t="shared" si="0"/>
        <v>45345</v>
      </c>
      <c r="K55">
        <f t="shared" si="1"/>
        <v>100</v>
      </c>
    </row>
    <row r="56" spans="1:11" hidden="1" x14ac:dyDescent="0.3">
      <c r="A56" s="1">
        <v>45346</v>
      </c>
      <c r="B56">
        <v>2188</v>
      </c>
      <c r="C56" t="s">
        <v>33</v>
      </c>
      <c r="D56" t="s">
        <v>12</v>
      </c>
      <c r="E56">
        <v>-100</v>
      </c>
      <c r="H56" t="b">
        <v>0</v>
      </c>
      <c r="J56" s="1">
        <f t="shared" si="0"/>
        <v>45346</v>
      </c>
      <c r="K56">
        <f t="shared" si="1"/>
        <v>-100</v>
      </c>
    </row>
    <row r="57" spans="1:11" hidden="1" x14ac:dyDescent="0.3">
      <c r="A57" s="1">
        <v>45347</v>
      </c>
      <c r="B57">
        <v>2188</v>
      </c>
      <c r="C57" t="s">
        <v>34</v>
      </c>
      <c r="D57" t="s">
        <v>12</v>
      </c>
      <c r="E57">
        <v>100</v>
      </c>
      <c r="H57" t="b">
        <v>0</v>
      </c>
      <c r="J57" s="1">
        <f t="shared" si="0"/>
        <v>45347</v>
      </c>
      <c r="K57">
        <f t="shared" si="1"/>
        <v>100</v>
      </c>
    </row>
    <row r="58" spans="1:11" hidden="1" x14ac:dyDescent="0.3">
      <c r="A58" s="1">
        <v>45348</v>
      </c>
      <c r="B58">
        <v>2188</v>
      </c>
      <c r="C58" t="s">
        <v>35</v>
      </c>
      <c r="D58" t="s">
        <v>12</v>
      </c>
      <c r="E58">
        <v>-100</v>
      </c>
      <c r="H58" t="b">
        <v>0</v>
      </c>
      <c r="J58" s="1">
        <f t="shared" si="0"/>
        <v>45348</v>
      </c>
      <c r="K58">
        <f t="shared" si="1"/>
        <v>-100</v>
      </c>
    </row>
    <row r="59" spans="1:11" hidden="1" x14ac:dyDescent="0.3">
      <c r="A59" s="1">
        <v>45349</v>
      </c>
      <c r="B59">
        <v>2188</v>
      </c>
      <c r="C59" t="s">
        <v>36</v>
      </c>
      <c r="D59" t="s">
        <v>37</v>
      </c>
      <c r="E59">
        <v>100</v>
      </c>
      <c r="H59" t="b">
        <v>0</v>
      </c>
      <c r="J59" s="1">
        <f t="shared" si="0"/>
        <v>45349</v>
      </c>
      <c r="K59">
        <f t="shared" si="1"/>
        <v>100</v>
      </c>
    </row>
    <row r="60" spans="1:11" hidden="1" x14ac:dyDescent="0.3">
      <c r="A60" s="1">
        <v>45350</v>
      </c>
      <c r="B60">
        <v>2188</v>
      </c>
      <c r="C60" t="s">
        <v>38</v>
      </c>
      <c r="D60" t="s">
        <v>12</v>
      </c>
      <c r="E60">
        <v>-100</v>
      </c>
      <c r="H60" t="b">
        <v>0</v>
      </c>
      <c r="J60" s="1">
        <f t="shared" si="0"/>
        <v>45350</v>
      </c>
      <c r="K60">
        <f t="shared" si="1"/>
        <v>-100</v>
      </c>
    </row>
    <row r="61" spans="1:11" hidden="1" x14ac:dyDescent="0.3">
      <c r="A61" s="1">
        <v>45351</v>
      </c>
      <c r="B61">
        <v>2188</v>
      </c>
      <c r="C61" t="s">
        <v>39</v>
      </c>
      <c r="D61" t="s">
        <v>8</v>
      </c>
      <c r="E61">
        <v>100</v>
      </c>
      <c r="H61" t="b">
        <v>0</v>
      </c>
      <c r="J61" s="1">
        <f t="shared" si="0"/>
        <v>45351</v>
      </c>
      <c r="K61">
        <f t="shared" si="1"/>
        <v>100</v>
      </c>
    </row>
    <row r="62" spans="1:11" hidden="1" x14ac:dyDescent="0.3">
      <c r="A62" s="1">
        <v>45351</v>
      </c>
      <c r="B62">
        <v>2188</v>
      </c>
      <c r="C62" t="s">
        <v>40</v>
      </c>
      <c r="D62" t="s">
        <v>41</v>
      </c>
      <c r="E62">
        <v>-100</v>
      </c>
      <c r="H62" t="b">
        <v>0</v>
      </c>
      <c r="J62" s="1">
        <f t="shared" si="0"/>
        <v>45351</v>
      </c>
      <c r="K62">
        <f t="shared" si="1"/>
        <v>-100</v>
      </c>
    </row>
    <row r="63" spans="1:11" hidden="1" x14ac:dyDescent="0.3">
      <c r="A63" s="1">
        <v>45351</v>
      </c>
      <c r="B63">
        <v>2188</v>
      </c>
      <c r="C63" t="s">
        <v>42</v>
      </c>
      <c r="D63" t="s">
        <v>41</v>
      </c>
      <c r="E63">
        <v>100</v>
      </c>
      <c r="H63" t="b">
        <v>0</v>
      </c>
      <c r="J63" s="1">
        <f t="shared" si="0"/>
        <v>45351</v>
      </c>
      <c r="K63">
        <f t="shared" si="1"/>
        <v>100</v>
      </c>
    </row>
    <row r="64" spans="1:11" hidden="1" x14ac:dyDescent="0.3">
      <c r="A64" s="1">
        <v>45352</v>
      </c>
      <c r="B64">
        <v>2188</v>
      </c>
      <c r="C64" t="s">
        <v>53</v>
      </c>
      <c r="D64" t="s">
        <v>7</v>
      </c>
      <c r="E64">
        <v>111</v>
      </c>
      <c r="H64" t="b">
        <v>0</v>
      </c>
      <c r="J64" s="1">
        <f t="shared" si="0"/>
        <v>45352</v>
      </c>
      <c r="K64">
        <f t="shared" si="1"/>
        <v>111</v>
      </c>
    </row>
    <row r="65" spans="1:11" x14ac:dyDescent="0.3">
      <c r="A65" s="1">
        <v>45353</v>
      </c>
      <c r="B65">
        <v>2188</v>
      </c>
      <c r="C65" t="s">
        <v>54</v>
      </c>
      <c r="D65" t="s">
        <v>8</v>
      </c>
      <c r="E65">
        <v>-222</v>
      </c>
      <c r="H65" t="b">
        <v>0</v>
      </c>
      <c r="J65" s="1">
        <f t="shared" si="0"/>
        <v>45353</v>
      </c>
      <c r="K65">
        <f t="shared" si="1"/>
        <v>-222</v>
      </c>
    </row>
    <row r="66" spans="1:11" hidden="1" x14ac:dyDescent="0.3">
      <c r="A66" s="1">
        <v>45354</v>
      </c>
      <c r="B66">
        <v>2188</v>
      </c>
      <c r="C66" t="s">
        <v>55</v>
      </c>
      <c r="D66" t="s">
        <v>9</v>
      </c>
      <c r="E66">
        <v>333</v>
      </c>
      <c r="H66" t="b">
        <v>0</v>
      </c>
      <c r="J66" s="1">
        <f t="shared" si="0"/>
        <v>45354</v>
      </c>
      <c r="K66">
        <f t="shared" si="1"/>
        <v>333</v>
      </c>
    </row>
    <row r="67" spans="1:11" hidden="1" x14ac:dyDescent="0.3">
      <c r="A67" s="1">
        <v>45355</v>
      </c>
      <c r="B67">
        <v>2188</v>
      </c>
      <c r="C67" t="s">
        <v>56</v>
      </c>
      <c r="D67" t="s">
        <v>8</v>
      </c>
      <c r="E67">
        <v>-444</v>
      </c>
      <c r="H67" t="b">
        <v>0</v>
      </c>
      <c r="J67" s="1">
        <f t="shared" ref="J67:J125" si="2">IF(H67=FALSE, A67, I67)</f>
        <v>45355</v>
      </c>
      <c r="K67">
        <f t="shared" ref="K67:K125" si="3">IF(G67=FALSE, E67-F67, 0)</f>
        <v>-444</v>
      </c>
    </row>
    <row r="68" spans="1:11" hidden="1" x14ac:dyDescent="0.3">
      <c r="A68" s="1">
        <v>45356</v>
      </c>
      <c r="B68">
        <v>2188</v>
      </c>
      <c r="C68" t="s">
        <v>57</v>
      </c>
      <c r="D68" t="s">
        <v>10</v>
      </c>
      <c r="E68">
        <v>555</v>
      </c>
      <c r="H68" t="b">
        <v>0</v>
      </c>
      <c r="J68" s="1">
        <f t="shared" si="2"/>
        <v>45356</v>
      </c>
      <c r="K68">
        <f t="shared" si="3"/>
        <v>555</v>
      </c>
    </row>
    <row r="69" spans="1:11" hidden="1" x14ac:dyDescent="0.3">
      <c r="A69" s="1">
        <v>45357</v>
      </c>
      <c r="B69">
        <v>2188</v>
      </c>
      <c r="C69" t="s">
        <v>11</v>
      </c>
      <c r="D69" t="s">
        <v>12</v>
      </c>
      <c r="E69">
        <v>-100</v>
      </c>
      <c r="H69" t="b">
        <v>0</v>
      </c>
      <c r="J69" s="1">
        <f t="shared" si="2"/>
        <v>45357</v>
      </c>
      <c r="K69">
        <f t="shared" si="3"/>
        <v>-100</v>
      </c>
    </row>
    <row r="70" spans="1:11" hidden="1" x14ac:dyDescent="0.3">
      <c r="A70" s="1">
        <v>45358</v>
      </c>
      <c r="B70">
        <v>2188</v>
      </c>
      <c r="C70" t="s">
        <v>13</v>
      </c>
      <c r="D70" t="s">
        <v>8</v>
      </c>
      <c r="E70">
        <v>100</v>
      </c>
      <c r="H70" t="b">
        <v>0</v>
      </c>
      <c r="J70" s="1">
        <f t="shared" si="2"/>
        <v>45358</v>
      </c>
      <c r="K70">
        <f t="shared" si="3"/>
        <v>100</v>
      </c>
    </row>
    <row r="71" spans="1:11" hidden="1" x14ac:dyDescent="0.3">
      <c r="A71" s="1">
        <v>45359</v>
      </c>
      <c r="B71">
        <v>2188</v>
      </c>
      <c r="C71" t="s">
        <v>14</v>
      </c>
      <c r="D71" t="s">
        <v>12</v>
      </c>
      <c r="E71">
        <v>-100</v>
      </c>
      <c r="H71" t="b">
        <v>0</v>
      </c>
      <c r="J71" s="1">
        <f t="shared" si="2"/>
        <v>45359</v>
      </c>
      <c r="K71">
        <f t="shared" si="3"/>
        <v>-100</v>
      </c>
    </row>
    <row r="72" spans="1:11" hidden="1" x14ac:dyDescent="0.3">
      <c r="A72" s="1">
        <v>45360</v>
      </c>
      <c r="B72">
        <v>2188</v>
      </c>
      <c r="C72" t="s">
        <v>15</v>
      </c>
      <c r="D72" t="s">
        <v>16</v>
      </c>
      <c r="E72">
        <v>100</v>
      </c>
      <c r="H72" t="b">
        <v>0</v>
      </c>
      <c r="J72" s="1">
        <f t="shared" si="2"/>
        <v>45360</v>
      </c>
      <c r="K72">
        <f t="shared" si="3"/>
        <v>100</v>
      </c>
    </row>
    <row r="73" spans="1:11" hidden="1" x14ac:dyDescent="0.3">
      <c r="A73" s="1">
        <v>45361</v>
      </c>
      <c r="B73">
        <v>2188</v>
      </c>
      <c r="C73" t="s">
        <v>17</v>
      </c>
      <c r="D73" t="s">
        <v>18</v>
      </c>
      <c r="E73">
        <v>-100</v>
      </c>
      <c r="H73" t="b">
        <v>0</v>
      </c>
      <c r="J73" s="1">
        <f t="shared" si="2"/>
        <v>45361</v>
      </c>
      <c r="K73">
        <f t="shared" si="3"/>
        <v>-100</v>
      </c>
    </row>
    <row r="74" spans="1:11" hidden="1" x14ac:dyDescent="0.3">
      <c r="A74" s="1">
        <v>45362</v>
      </c>
      <c r="B74">
        <v>2188</v>
      </c>
      <c r="C74" t="s">
        <v>19</v>
      </c>
      <c r="D74" t="s">
        <v>7</v>
      </c>
      <c r="E74">
        <v>100</v>
      </c>
      <c r="H74" t="b">
        <v>0</v>
      </c>
      <c r="J74" s="1">
        <f t="shared" si="2"/>
        <v>45362</v>
      </c>
      <c r="K74">
        <f t="shared" si="3"/>
        <v>100</v>
      </c>
    </row>
    <row r="75" spans="1:11" hidden="1" x14ac:dyDescent="0.3">
      <c r="A75" s="1">
        <v>45363</v>
      </c>
      <c r="B75">
        <v>2188</v>
      </c>
      <c r="C75" t="s">
        <v>20</v>
      </c>
      <c r="D75" t="s">
        <v>12</v>
      </c>
      <c r="E75">
        <v>-100</v>
      </c>
      <c r="H75" t="b">
        <v>0</v>
      </c>
      <c r="J75" s="1">
        <f t="shared" si="2"/>
        <v>45363</v>
      </c>
      <c r="K75">
        <f t="shared" si="3"/>
        <v>-100</v>
      </c>
    </row>
    <row r="76" spans="1:11" hidden="1" x14ac:dyDescent="0.3">
      <c r="A76" s="1">
        <v>45364</v>
      </c>
      <c r="B76">
        <v>2188</v>
      </c>
      <c r="C76" t="s">
        <v>21</v>
      </c>
      <c r="D76" t="s">
        <v>22</v>
      </c>
      <c r="E76">
        <v>1923</v>
      </c>
      <c r="H76" t="b">
        <v>0</v>
      </c>
      <c r="J76" s="1">
        <f t="shared" si="2"/>
        <v>45364</v>
      </c>
      <c r="K76">
        <f t="shared" si="3"/>
        <v>1923</v>
      </c>
    </row>
    <row r="77" spans="1:11" hidden="1" x14ac:dyDescent="0.3">
      <c r="A77" s="1">
        <v>45365</v>
      </c>
      <c r="B77">
        <v>2188</v>
      </c>
      <c r="C77" t="s">
        <v>23</v>
      </c>
      <c r="D77" t="s">
        <v>8</v>
      </c>
      <c r="E77">
        <v>-100</v>
      </c>
      <c r="H77" t="b">
        <v>0</v>
      </c>
      <c r="J77" s="1">
        <f t="shared" si="2"/>
        <v>45365</v>
      </c>
      <c r="K77">
        <f t="shared" si="3"/>
        <v>-100</v>
      </c>
    </row>
    <row r="78" spans="1:11" hidden="1" x14ac:dyDescent="0.3">
      <c r="A78" s="1">
        <v>45366</v>
      </c>
      <c r="B78">
        <v>2188</v>
      </c>
      <c r="C78" t="s">
        <v>24</v>
      </c>
      <c r="D78" t="s">
        <v>8</v>
      </c>
      <c r="E78">
        <v>100</v>
      </c>
      <c r="H78" t="b">
        <v>0</v>
      </c>
      <c r="J78" s="1">
        <f t="shared" si="2"/>
        <v>45366</v>
      </c>
      <c r="K78">
        <f t="shared" si="3"/>
        <v>100</v>
      </c>
    </row>
    <row r="79" spans="1:11" hidden="1" x14ac:dyDescent="0.3">
      <c r="A79" s="1">
        <v>45367</v>
      </c>
      <c r="B79">
        <v>2188</v>
      </c>
      <c r="C79" t="s">
        <v>25</v>
      </c>
      <c r="D79" t="s">
        <v>12</v>
      </c>
      <c r="E79">
        <v>-100</v>
      </c>
      <c r="H79" t="b">
        <v>0</v>
      </c>
      <c r="J79" s="1">
        <f t="shared" si="2"/>
        <v>45367</v>
      </c>
      <c r="K79">
        <f t="shared" si="3"/>
        <v>-100</v>
      </c>
    </row>
    <row r="80" spans="1:11" hidden="1" x14ac:dyDescent="0.3">
      <c r="A80" s="1">
        <v>45368</v>
      </c>
      <c r="B80">
        <v>2188</v>
      </c>
      <c r="C80" t="s">
        <v>26</v>
      </c>
      <c r="D80" t="s">
        <v>12</v>
      </c>
      <c r="E80">
        <v>100</v>
      </c>
      <c r="G80" t="b">
        <v>1</v>
      </c>
      <c r="H80" t="b">
        <v>0</v>
      </c>
      <c r="J80" s="1">
        <f t="shared" si="2"/>
        <v>45368</v>
      </c>
      <c r="K80">
        <f t="shared" si="3"/>
        <v>0</v>
      </c>
    </row>
    <row r="81" spans="1:11" hidden="1" x14ac:dyDescent="0.3">
      <c r="A81" s="1">
        <v>45369</v>
      </c>
      <c r="B81">
        <v>2188</v>
      </c>
      <c r="C81" t="s">
        <v>27</v>
      </c>
      <c r="D81" t="s">
        <v>12</v>
      </c>
      <c r="E81">
        <v>-100</v>
      </c>
      <c r="H81" t="b">
        <v>0</v>
      </c>
      <c r="J81" s="1">
        <f t="shared" si="2"/>
        <v>45369</v>
      </c>
      <c r="K81">
        <f t="shared" si="3"/>
        <v>-100</v>
      </c>
    </row>
    <row r="82" spans="1:11" hidden="1" x14ac:dyDescent="0.3">
      <c r="A82" s="1">
        <v>45370</v>
      </c>
      <c r="B82">
        <v>2188</v>
      </c>
      <c r="C82" t="s">
        <v>28</v>
      </c>
      <c r="D82" t="s">
        <v>12</v>
      </c>
      <c r="E82">
        <v>100</v>
      </c>
      <c r="H82" t="b">
        <v>0</v>
      </c>
      <c r="J82" s="1">
        <f t="shared" si="2"/>
        <v>45370</v>
      </c>
      <c r="K82">
        <f t="shared" si="3"/>
        <v>100</v>
      </c>
    </row>
    <row r="83" spans="1:11" hidden="1" x14ac:dyDescent="0.3">
      <c r="A83" s="1">
        <v>45371</v>
      </c>
      <c r="B83">
        <v>2188</v>
      </c>
      <c r="C83" t="s">
        <v>29</v>
      </c>
      <c r="D83" t="s">
        <v>12</v>
      </c>
      <c r="E83">
        <v>-100</v>
      </c>
      <c r="H83" t="b">
        <v>0</v>
      </c>
      <c r="J83" s="1">
        <f t="shared" si="2"/>
        <v>45371</v>
      </c>
      <c r="K83">
        <f t="shared" si="3"/>
        <v>-100</v>
      </c>
    </row>
    <row r="84" spans="1:11" hidden="1" x14ac:dyDescent="0.3">
      <c r="A84" s="1">
        <v>45372</v>
      </c>
      <c r="B84">
        <v>2188</v>
      </c>
      <c r="C84" t="s">
        <v>30</v>
      </c>
      <c r="D84" t="s">
        <v>12</v>
      </c>
      <c r="E84">
        <v>100</v>
      </c>
      <c r="H84" t="b">
        <v>0</v>
      </c>
      <c r="J84" s="1">
        <f t="shared" si="2"/>
        <v>45372</v>
      </c>
      <c r="K84">
        <f t="shared" si="3"/>
        <v>100</v>
      </c>
    </row>
    <row r="85" spans="1:11" hidden="1" x14ac:dyDescent="0.3">
      <c r="A85" s="1">
        <v>45373</v>
      </c>
      <c r="B85">
        <v>2188</v>
      </c>
      <c r="C85" t="s">
        <v>31</v>
      </c>
      <c r="D85" t="s">
        <v>12</v>
      </c>
      <c r="E85">
        <v>-100</v>
      </c>
      <c r="H85" t="b">
        <v>0</v>
      </c>
      <c r="J85" s="1">
        <f t="shared" si="2"/>
        <v>45373</v>
      </c>
      <c r="K85">
        <f t="shared" si="3"/>
        <v>-100</v>
      </c>
    </row>
    <row r="86" spans="1:11" hidden="1" x14ac:dyDescent="0.3">
      <c r="A86" s="1">
        <v>45374</v>
      </c>
      <c r="B86">
        <v>2188</v>
      </c>
      <c r="C86" t="s">
        <v>32</v>
      </c>
      <c r="D86" t="s">
        <v>12</v>
      </c>
      <c r="E86">
        <v>100</v>
      </c>
      <c r="H86" t="b">
        <v>0</v>
      </c>
      <c r="J86" s="1">
        <f t="shared" si="2"/>
        <v>45374</v>
      </c>
      <c r="K86">
        <f t="shared" si="3"/>
        <v>100</v>
      </c>
    </row>
    <row r="87" spans="1:11" hidden="1" x14ac:dyDescent="0.3">
      <c r="A87" s="1">
        <v>45375</v>
      </c>
      <c r="B87">
        <v>2188</v>
      </c>
      <c r="C87" t="s">
        <v>33</v>
      </c>
      <c r="D87" t="s">
        <v>12</v>
      </c>
      <c r="E87">
        <v>-100</v>
      </c>
      <c r="H87" t="b">
        <v>0</v>
      </c>
      <c r="J87" s="1">
        <f t="shared" si="2"/>
        <v>45375</v>
      </c>
      <c r="K87">
        <f t="shared" si="3"/>
        <v>-100</v>
      </c>
    </row>
    <row r="88" spans="1:11" hidden="1" x14ac:dyDescent="0.3">
      <c r="A88" s="1">
        <v>45376</v>
      </c>
      <c r="B88">
        <v>2188</v>
      </c>
      <c r="C88" t="s">
        <v>34</v>
      </c>
      <c r="D88" t="s">
        <v>12</v>
      </c>
      <c r="E88">
        <v>100</v>
      </c>
      <c r="H88" t="b">
        <v>0</v>
      </c>
      <c r="J88" s="1">
        <f t="shared" si="2"/>
        <v>45376</v>
      </c>
      <c r="K88">
        <f t="shared" si="3"/>
        <v>100</v>
      </c>
    </row>
    <row r="89" spans="1:11" hidden="1" x14ac:dyDescent="0.3">
      <c r="A89" s="1">
        <v>45377</v>
      </c>
      <c r="B89">
        <v>2188</v>
      </c>
      <c r="C89" t="s">
        <v>35</v>
      </c>
      <c r="D89" t="s">
        <v>12</v>
      </c>
      <c r="E89">
        <v>-100</v>
      </c>
      <c r="H89" t="b">
        <v>0</v>
      </c>
      <c r="J89" s="1">
        <f t="shared" si="2"/>
        <v>45377</v>
      </c>
      <c r="K89">
        <f t="shared" si="3"/>
        <v>-100</v>
      </c>
    </row>
    <row r="90" spans="1:11" hidden="1" x14ac:dyDescent="0.3">
      <c r="A90" s="1">
        <v>45378</v>
      </c>
      <c r="B90">
        <v>2188</v>
      </c>
      <c r="C90" t="s">
        <v>36</v>
      </c>
      <c r="D90" t="s">
        <v>37</v>
      </c>
      <c r="E90">
        <v>100</v>
      </c>
      <c r="H90" t="b">
        <v>0</v>
      </c>
      <c r="J90" s="1">
        <f t="shared" si="2"/>
        <v>45378</v>
      </c>
      <c r="K90">
        <f t="shared" si="3"/>
        <v>100</v>
      </c>
    </row>
    <row r="91" spans="1:11" hidden="1" x14ac:dyDescent="0.3">
      <c r="A91" s="1">
        <v>45379</v>
      </c>
      <c r="B91">
        <v>2188</v>
      </c>
      <c r="C91" t="s">
        <v>38</v>
      </c>
      <c r="D91" t="s">
        <v>12</v>
      </c>
      <c r="E91">
        <v>-100</v>
      </c>
      <c r="H91" t="b">
        <v>0</v>
      </c>
      <c r="J91" s="1">
        <f t="shared" si="2"/>
        <v>45379</v>
      </c>
      <c r="K91">
        <f t="shared" si="3"/>
        <v>-100</v>
      </c>
    </row>
    <row r="92" spans="1:11" hidden="1" x14ac:dyDescent="0.3">
      <c r="A92" s="1">
        <v>45380</v>
      </c>
      <c r="B92">
        <v>2188</v>
      </c>
      <c r="C92" t="s">
        <v>39</v>
      </c>
      <c r="D92" t="s">
        <v>8</v>
      </c>
      <c r="E92">
        <v>100</v>
      </c>
      <c r="H92" t="b">
        <v>0</v>
      </c>
      <c r="J92" s="1">
        <f t="shared" si="2"/>
        <v>45380</v>
      </c>
      <c r="K92">
        <f t="shared" si="3"/>
        <v>100</v>
      </c>
    </row>
    <row r="93" spans="1:11" hidden="1" x14ac:dyDescent="0.3">
      <c r="A93" s="1">
        <v>45381</v>
      </c>
      <c r="B93">
        <v>2188</v>
      </c>
      <c r="C93" t="s">
        <v>40</v>
      </c>
      <c r="D93" t="s">
        <v>41</v>
      </c>
      <c r="E93">
        <v>-100</v>
      </c>
      <c r="H93" t="b">
        <v>0</v>
      </c>
      <c r="J93" s="1">
        <f t="shared" si="2"/>
        <v>45381</v>
      </c>
      <c r="K93">
        <f t="shared" si="3"/>
        <v>-100</v>
      </c>
    </row>
    <row r="94" spans="1:11" hidden="1" x14ac:dyDescent="0.3">
      <c r="A94" s="1">
        <v>45382</v>
      </c>
      <c r="B94">
        <v>2188</v>
      </c>
      <c r="C94" t="s">
        <v>42</v>
      </c>
      <c r="D94" t="s">
        <v>41</v>
      </c>
      <c r="E94">
        <v>100</v>
      </c>
      <c r="H94" t="b">
        <v>0</v>
      </c>
      <c r="J94" s="1">
        <f t="shared" si="2"/>
        <v>45382</v>
      </c>
      <c r="K94">
        <f t="shared" si="3"/>
        <v>100</v>
      </c>
    </row>
    <row r="95" spans="1:11" hidden="1" x14ac:dyDescent="0.3">
      <c r="A95" s="1">
        <v>45383</v>
      </c>
      <c r="B95">
        <v>2188</v>
      </c>
      <c r="C95" t="s">
        <v>53</v>
      </c>
      <c r="D95" t="s">
        <v>7</v>
      </c>
      <c r="E95">
        <v>111</v>
      </c>
      <c r="H95" t="b">
        <v>0</v>
      </c>
      <c r="J95" s="1">
        <f t="shared" si="2"/>
        <v>45383</v>
      </c>
      <c r="K95">
        <f t="shared" si="3"/>
        <v>111</v>
      </c>
    </row>
    <row r="96" spans="1:11" x14ac:dyDescent="0.3">
      <c r="A96" s="1">
        <v>45384</v>
      </c>
      <c r="B96">
        <v>2188</v>
      </c>
      <c r="C96" t="s">
        <v>54</v>
      </c>
      <c r="D96" t="s">
        <v>8</v>
      </c>
      <c r="E96">
        <v>-222</v>
      </c>
      <c r="H96" t="b">
        <v>0</v>
      </c>
      <c r="J96" s="1">
        <f t="shared" si="2"/>
        <v>45384</v>
      </c>
      <c r="K96">
        <f t="shared" si="3"/>
        <v>-222</v>
      </c>
    </row>
    <row r="97" spans="1:11" hidden="1" x14ac:dyDescent="0.3">
      <c r="A97" s="1">
        <v>45385</v>
      </c>
      <c r="B97">
        <v>2188</v>
      </c>
      <c r="C97" t="s">
        <v>55</v>
      </c>
      <c r="D97" t="s">
        <v>9</v>
      </c>
      <c r="E97">
        <v>333</v>
      </c>
      <c r="H97" t="b">
        <v>0</v>
      </c>
      <c r="J97" s="1">
        <f t="shared" si="2"/>
        <v>45385</v>
      </c>
      <c r="K97">
        <f t="shared" si="3"/>
        <v>333</v>
      </c>
    </row>
    <row r="98" spans="1:11" hidden="1" x14ac:dyDescent="0.3">
      <c r="A98" s="1">
        <v>45386</v>
      </c>
      <c r="B98">
        <v>2188</v>
      </c>
      <c r="C98" t="s">
        <v>56</v>
      </c>
      <c r="D98" t="s">
        <v>8</v>
      </c>
      <c r="E98">
        <v>-444</v>
      </c>
      <c r="H98" t="b">
        <v>0</v>
      </c>
      <c r="J98" s="1">
        <f t="shared" si="2"/>
        <v>45386</v>
      </c>
      <c r="K98">
        <f t="shared" si="3"/>
        <v>-444</v>
      </c>
    </row>
    <row r="99" spans="1:11" hidden="1" x14ac:dyDescent="0.3">
      <c r="A99" s="1">
        <v>45387</v>
      </c>
      <c r="B99">
        <v>2188</v>
      </c>
      <c r="C99" t="s">
        <v>57</v>
      </c>
      <c r="D99" t="s">
        <v>10</v>
      </c>
      <c r="E99">
        <v>555</v>
      </c>
      <c r="H99" t="b">
        <v>0</v>
      </c>
      <c r="J99" s="1">
        <f t="shared" si="2"/>
        <v>45387</v>
      </c>
      <c r="K99">
        <f t="shared" si="3"/>
        <v>555</v>
      </c>
    </row>
    <row r="100" spans="1:11" hidden="1" x14ac:dyDescent="0.3">
      <c r="A100" s="1">
        <v>45388</v>
      </c>
      <c r="B100">
        <v>2188</v>
      </c>
      <c r="C100" t="s">
        <v>11</v>
      </c>
      <c r="D100" t="s">
        <v>12</v>
      </c>
      <c r="E100">
        <v>-100</v>
      </c>
      <c r="H100" t="b">
        <v>0</v>
      </c>
      <c r="J100" s="1">
        <f t="shared" si="2"/>
        <v>45388</v>
      </c>
      <c r="K100">
        <f t="shared" si="3"/>
        <v>-100</v>
      </c>
    </row>
    <row r="101" spans="1:11" hidden="1" x14ac:dyDescent="0.3">
      <c r="A101" s="1">
        <v>45389</v>
      </c>
      <c r="B101">
        <v>2188</v>
      </c>
      <c r="C101" t="s">
        <v>13</v>
      </c>
      <c r="D101" t="s">
        <v>8</v>
      </c>
      <c r="E101">
        <v>100</v>
      </c>
      <c r="H101" t="b">
        <v>0</v>
      </c>
      <c r="J101" s="1">
        <f t="shared" si="2"/>
        <v>45389</v>
      </c>
      <c r="K101">
        <f t="shared" si="3"/>
        <v>100</v>
      </c>
    </row>
    <row r="102" spans="1:11" hidden="1" x14ac:dyDescent="0.3">
      <c r="A102" s="1">
        <v>45390</v>
      </c>
      <c r="B102">
        <v>2188</v>
      </c>
      <c r="C102" t="s">
        <v>14</v>
      </c>
      <c r="D102" t="s">
        <v>12</v>
      </c>
      <c r="E102">
        <v>-100</v>
      </c>
      <c r="H102" t="b">
        <v>0</v>
      </c>
      <c r="J102" s="1">
        <f t="shared" si="2"/>
        <v>45390</v>
      </c>
      <c r="K102">
        <f t="shared" si="3"/>
        <v>-100</v>
      </c>
    </row>
    <row r="103" spans="1:11" hidden="1" x14ac:dyDescent="0.3">
      <c r="A103" s="1">
        <v>45391</v>
      </c>
      <c r="B103">
        <v>2188</v>
      </c>
      <c r="C103" t="s">
        <v>15</v>
      </c>
      <c r="D103" t="s">
        <v>16</v>
      </c>
      <c r="E103">
        <v>100</v>
      </c>
      <c r="H103" t="b">
        <v>0</v>
      </c>
      <c r="J103" s="1">
        <f t="shared" si="2"/>
        <v>45391</v>
      </c>
      <c r="K103">
        <f t="shared" si="3"/>
        <v>100</v>
      </c>
    </row>
    <row r="104" spans="1:11" hidden="1" x14ac:dyDescent="0.3">
      <c r="A104" s="1">
        <v>45392</v>
      </c>
      <c r="B104">
        <v>2188</v>
      </c>
      <c r="C104" t="s">
        <v>17</v>
      </c>
      <c r="D104" t="s">
        <v>18</v>
      </c>
      <c r="E104">
        <v>-100</v>
      </c>
      <c r="H104" t="b">
        <v>0</v>
      </c>
      <c r="J104" s="1">
        <f t="shared" si="2"/>
        <v>45392</v>
      </c>
      <c r="K104">
        <f t="shared" si="3"/>
        <v>-100</v>
      </c>
    </row>
    <row r="105" spans="1:11" hidden="1" x14ac:dyDescent="0.3">
      <c r="A105" s="1">
        <v>45393</v>
      </c>
      <c r="B105">
        <v>2188</v>
      </c>
      <c r="C105" t="s">
        <v>19</v>
      </c>
      <c r="D105" t="s">
        <v>7</v>
      </c>
      <c r="E105">
        <v>100</v>
      </c>
      <c r="H105" t="b">
        <v>0</v>
      </c>
      <c r="J105" s="1">
        <f t="shared" si="2"/>
        <v>45393</v>
      </c>
      <c r="K105">
        <f t="shared" si="3"/>
        <v>100</v>
      </c>
    </row>
    <row r="106" spans="1:11" hidden="1" x14ac:dyDescent="0.3">
      <c r="A106" s="1">
        <v>45394</v>
      </c>
      <c r="B106">
        <v>2188</v>
      </c>
      <c r="C106" t="s">
        <v>20</v>
      </c>
      <c r="D106" t="s">
        <v>12</v>
      </c>
      <c r="E106">
        <v>-100</v>
      </c>
      <c r="H106" t="b">
        <v>0</v>
      </c>
      <c r="J106" s="1">
        <f t="shared" si="2"/>
        <v>45394</v>
      </c>
      <c r="K106">
        <f t="shared" si="3"/>
        <v>-100</v>
      </c>
    </row>
    <row r="107" spans="1:11" hidden="1" x14ac:dyDescent="0.3">
      <c r="A107" s="1">
        <v>45395</v>
      </c>
      <c r="B107">
        <v>2188</v>
      </c>
      <c r="C107" t="s">
        <v>21</v>
      </c>
      <c r="D107" t="s">
        <v>22</v>
      </c>
      <c r="E107">
        <v>1674</v>
      </c>
      <c r="H107" t="b">
        <v>0</v>
      </c>
      <c r="J107" s="1">
        <f t="shared" si="2"/>
        <v>45395</v>
      </c>
      <c r="K107">
        <f t="shared" si="3"/>
        <v>1674</v>
      </c>
    </row>
    <row r="108" spans="1:11" hidden="1" x14ac:dyDescent="0.3">
      <c r="A108" s="1">
        <v>45396</v>
      </c>
      <c r="B108">
        <v>2188</v>
      </c>
      <c r="C108" t="s">
        <v>23</v>
      </c>
      <c r="D108" t="s">
        <v>8</v>
      </c>
      <c r="E108">
        <v>-100</v>
      </c>
      <c r="H108" t="b">
        <v>0</v>
      </c>
      <c r="J108" s="1">
        <f t="shared" si="2"/>
        <v>45396</v>
      </c>
      <c r="K108">
        <f t="shared" si="3"/>
        <v>-100</v>
      </c>
    </row>
    <row r="109" spans="1:11" hidden="1" x14ac:dyDescent="0.3">
      <c r="A109" s="1">
        <v>45397</v>
      </c>
      <c r="B109">
        <v>2188</v>
      </c>
      <c r="C109" t="s">
        <v>24</v>
      </c>
      <c r="D109" t="s">
        <v>8</v>
      </c>
      <c r="E109">
        <v>100</v>
      </c>
      <c r="H109" t="b">
        <v>0</v>
      </c>
      <c r="J109" s="1">
        <f t="shared" si="2"/>
        <v>45397</v>
      </c>
      <c r="K109">
        <f t="shared" si="3"/>
        <v>100</v>
      </c>
    </row>
    <row r="110" spans="1:11" hidden="1" x14ac:dyDescent="0.3">
      <c r="A110" s="1">
        <v>45398</v>
      </c>
      <c r="B110">
        <v>2188</v>
      </c>
      <c r="C110" t="s">
        <v>25</v>
      </c>
      <c r="D110" t="s">
        <v>12</v>
      </c>
      <c r="E110">
        <v>-100</v>
      </c>
      <c r="H110" t="b">
        <v>0</v>
      </c>
      <c r="J110" s="1">
        <f t="shared" si="2"/>
        <v>45398</v>
      </c>
      <c r="K110">
        <f t="shared" si="3"/>
        <v>-100</v>
      </c>
    </row>
    <row r="111" spans="1:11" hidden="1" x14ac:dyDescent="0.3">
      <c r="A111" s="1">
        <v>45399</v>
      </c>
      <c r="B111">
        <v>2188</v>
      </c>
      <c r="C111" t="s">
        <v>26</v>
      </c>
      <c r="D111" t="s">
        <v>12</v>
      </c>
      <c r="E111">
        <v>100</v>
      </c>
      <c r="G111" t="b">
        <v>1</v>
      </c>
      <c r="H111" t="b">
        <v>0</v>
      </c>
      <c r="J111" s="1">
        <f t="shared" si="2"/>
        <v>45399</v>
      </c>
      <c r="K111">
        <f t="shared" si="3"/>
        <v>0</v>
      </c>
    </row>
    <row r="112" spans="1:11" hidden="1" x14ac:dyDescent="0.3">
      <c r="A112" s="1">
        <v>45400</v>
      </c>
      <c r="B112">
        <v>2188</v>
      </c>
      <c r="C112" t="s">
        <v>27</v>
      </c>
      <c r="D112" t="s">
        <v>12</v>
      </c>
      <c r="E112">
        <v>-100</v>
      </c>
      <c r="H112" t="b">
        <v>0</v>
      </c>
      <c r="J112" s="1">
        <f t="shared" si="2"/>
        <v>45400</v>
      </c>
      <c r="K112">
        <f t="shared" si="3"/>
        <v>-100</v>
      </c>
    </row>
    <row r="113" spans="1:11" hidden="1" x14ac:dyDescent="0.3">
      <c r="A113" s="1">
        <v>45401</v>
      </c>
      <c r="B113">
        <v>2188</v>
      </c>
      <c r="C113" t="s">
        <v>28</v>
      </c>
      <c r="D113" t="s">
        <v>12</v>
      </c>
      <c r="E113">
        <v>100</v>
      </c>
      <c r="H113" t="b">
        <v>0</v>
      </c>
      <c r="J113" s="1">
        <f t="shared" si="2"/>
        <v>45401</v>
      </c>
      <c r="K113">
        <f t="shared" si="3"/>
        <v>100</v>
      </c>
    </row>
    <row r="114" spans="1:11" hidden="1" x14ac:dyDescent="0.3">
      <c r="A114" s="1">
        <v>45402</v>
      </c>
      <c r="B114">
        <v>2188</v>
      </c>
      <c r="C114" t="s">
        <v>29</v>
      </c>
      <c r="D114" t="s">
        <v>12</v>
      </c>
      <c r="E114">
        <v>-100</v>
      </c>
      <c r="H114" t="b">
        <v>0</v>
      </c>
      <c r="J114" s="1">
        <f t="shared" si="2"/>
        <v>45402</v>
      </c>
      <c r="K114">
        <f t="shared" si="3"/>
        <v>-100</v>
      </c>
    </row>
    <row r="115" spans="1:11" hidden="1" x14ac:dyDescent="0.3">
      <c r="A115" s="1">
        <v>45403</v>
      </c>
      <c r="B115">
        <v>2188</v>
      </c>
      <c r="C115" t="s">
        <v>30</v>
      </c>
      <c r="D115" t="s">
        <v>12</v>
      </c>
      <c r="E115">
        <v>100</v>
      </c>
      <c r="H115" t="b">
        <v>0</v>
      </c>
      <c r="J115" s="1">
        <f t="shared" si="2"/>
        <v>45403</v>
      </c>
      <c r="K115">
        <f t="shared" si="3"/>
        <v>100</v>
      </c>
    </row>
    <row r="116" spans="1:11" hidden="1" x14ac:dyDescent="0.3">
      <c r="A116" s="1">
        <v>45404</v>
      </c>
      <c r="B116">
        <v>2188</v>
      </c>
      <c r="C116" t="s">
        <v>31</v>
      </c>
      <c r="D116" t="s">
        <v>12</v>
      </c>
      <c r="E116">
        <v>-100</v>
      </c>
      <c r="H116" t="b">
        <v>0</v>
      </c>
      <c r="J116" s="1">
        <f t="shared" si="2"/>
        <v>45404</v>
      </c>
      <c r="K116">
        <f t="shared" si="3"/>
        <v>-100</v>
      </c>
    </row>
    <row r="117" spans="1:11" hidden="1" x14ac:dyDescent="0.3">
      <c r="A117" s="1">
        <v>45405</v>
      </c>
      <c r="B117">
        <v>2188</v>
      </c>
      <c r="C117" t="s">
        <v>32</v>
      </c>
      <c r="D117" t="s">
        <v>12</v>
      </c>
      <c r="E117">
        <v>100</v>
      </c>
      <c r="H117" t="b">
        <v>0</v>
      </c>
      <c r="J117" s="1">
        <f t="shared" si="2"/>
        <v>45405</v>
      </c>
      <c r="K117">
        <f t="shared" si="3"/>
        <v>100</v>
      </c>
    </row>
    <row r="118" spans="1:11" hidden="1" x14ac:dyDescent="0.3">
      <c r="A118" s="1">
        <v>45406</v>
      </c>
      <c r="B118">
        <v>2188</v>
      </c>
      <c r="C118" t="s">
        <v>33</v>
      </c>
      <c r="D118" t="s">
        <v>12</v>
      </c>
      <c r="E118">
        <v>-100</v>
      </c>
      <c r="H118" t="b">
        <v>0</v>
      </c>
      <c r="J118" s="1">
        <f t="shared" si="2"/>
        <v>45406</v>
      </c>
      <c r="K118">
        <f t="shared" si="3"/>
        <v>-100</v>
      </c>
    </row>
    <row r="119" spans="1:11" hidden="1" x14ac:dyDescent="0.3">
      <c r="A119" s="1">
        <v>45407</v>
      </c>
      <c r="B119">
        <v>2188</v>
      </c>
      <c r="C119" t="s">
        <v>34</v>
      </c>
      <c r="D119" t="s">
        <v>12</v>
      </c>
      <c r="E119">
        <v>100</v>
      </c>
      <c r="H119" t="b">
        <v>0</v>
      </c>
      <c r="J119" s="1">
        <f t="shared" si="2"/>
        <v>45407</v>
      </c>
      <c r="K119">
        <f t="shared" si="3"/>
        <v>100</v>
      </c>
    </row>
    <row r="120" spans="1:11" hidden="1" x14ac:dyDescent="0.3">
      <c r="A120" s="1">
        <v>45408</v>
      </c>
      <c r="B120">
        <v>2188</v>
      </c>
      <c r="C120" t="s">
        <v>35</v>
      </c>
      <c r="D120" t="s">
        <v>12</v>
      </c>
      <c r="E120">
        <v>-100</v>
      </c>
      <c r="H120" t="b">
        <v>0</v>
      </c>
      <c r="J120" s="1">
        <f t="shared" si="2"/>
        <v>45408</v>
      </c>
      <c r="K120">
        <f t="shared" si="3"/>
        <v>-100</v>
      </c>
    </row>
    <row r="121" spans="1:11" hidden="1" x14ac:dyDescent="0.3">
      <c r="A121" s="1">
        <v>45409</v>
      </c>
      <c r="B121">
        <v>2188</v>
      </c>
      <c r="C121" t="s">
        <v>36</v>
      </c>
      <c r="D121" t="s">
        <v>37</v>
      </c>
      <c r="E121">
        <v>100</v>
      </c>
      <c r="H121" t="b">
        <v>0</v>
      </c>
      <c r="J121" s="1">
        <f t="shared" si="2"/>
        <v>45409</v>
      </c>
      <c r="K121">
        <f t="shared" si="3"/>
        <v>100</v>
      </c>
    </row>
    <row r="122" spans="1:11" hidden="1" x14ac:dyDescent="0.3">
      <c r="A122" s="1">
        <v>45410</v>
      </c>
      <c r="B122">
        <v>2188</v>
      </c>
      <c r="C122" t="s">
        <v>38</v>
      </c>
      <c r="D122" t="s">
        <v>12</v>
      </c>
      <c r="E122">
        <v>-100</v>
      </c>
      <c r="H122" t="b">
        <v>0</v>
      </c>
      <c r="J122" s="1">
        <f t="shared" si="2"/>
        <v>45410</v>
      </c>
      <c r="K122">
        <f t="shared" si="3"/>
        <v>-100</v>
      </c>
    </row>
    <row r="123" spans="1:11" hidden="1" x14ac:dyDescent="0.3">
      <c r="A123" s="1">
        <v>45411</v>
      </c>
      <c r="B123">
        <v>2188</v>
      </c>
      <c r="C123" t="s">
        <v>39</v>
      </c>
      <c r="D123" t="s">
        <v>8</v>
      </c>
      <c r="E123">
        <v>100</v>
      </c>
      <c r="H123" t="b">
        <v>0</v>
      </c>
      <c r="J123" s="1">
        <f t="shared" si="2"/>
        <v>45411</v>
      </c>
      <c r="K123">
        <f t="shared" si="3"/>
        <v>100</v>
      </c>
    </row>
    <row r="124" spans="1:11" hidden="1" x14ac:dyDescent="0.3">
      <c r="A124" s="1">
        <v>45412</v>
      </c>
      <c r="B124">
        <v>2188</v>
      </c>
      <c r="C124" t="s">
        <v>40</v>
      </c>
      <c r="D124" t="s">
        <v>41</v>
      </c>
      <c r="E124">
        <v>-100</v>
      </c>
      <c r="H124" t="b">
        <v>0</v>
      </c>
      <c r="J124" s="1">
        <f t="shared" si="2"/>
        <v>45412</v>
      </c>
      <c r="K124">
        <f t="shared" si="3"/>
        <v>-100</v>
      </c>
    </row>
    <row r="125" spans="1:11" hidden="1" x14ac:dyDescent="0.3">
      <c r="A125" s="1">
        <v>45412</v>
      </c>
      <c r="B125">
        <v>2188</v>
      </c>
      <c r="C125" t="s">
        <v>42</v>
      </c>
      <c r="D125" t="s">
        <v>41</v>
      </c>
      <c r="E125">
        <v>100</v>
      </c>
      <c r="H125" t="b">
        <v>0</v>
      </c>
      <c r="J125" s="1">
        <f t="shared" si="2"/>
        <v>45412</v>
      </c>
      <c r="K125">
        <f t="shared" si="3"/>
        <v>100</v>
      </c>
    </row>
  </sheetData>
  <autoFilter ref="A1:K125" xr:uid="{610232CD-87D7-4EE8-A684-5FF80CAD2014}">
    <filterColumn colId="2">
      <filters>
        <filter val="Oranges 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9CEF-EBB3-4EC1-BA10-2CD9A909180F}">
  <dimension ref="A1:T170"/>
  <sheetViews>
    <sheetView tabSelected="1" topLeftCell="N1" workbookViewId="0">
      <selection activeCell="Q12" sqref="Q12"/>
    </sheetView>
  </sheetViews>
  <sheetFormatPr defaultRowHeight="14.4" x14ac:dyDescent="0.3"/>
  <cols>
    <col min="1" max="1" width="18.88671875" style="2" customWidth="1"/>
    <col min="2" max="2" width="13.109375" style="2" bestFit="1" customWidth="1"/>
    <col min="3" max="3" width="9.21875" style="2" bestFit="1" customWidth="1"/>
    <col min="4" max="4" width="10.109375" style="2" bestFit="1" customWidth="1"/>
    <col min="5" max="5" width="8.88671875" style="2"/>
    <col min="6" max="6" width="10.109375" bestFit="1" customWidth="1"/>
    <col min="7" max="7" width="10.6640625" bestFit="1" customWidth="1"/>
    <col min="8" max="8" width="6.44140625" bestFit="1" customWidth="1"/>
    <col min="9" max="11" width="13.109375" bestFit="1" customWidth="1"/>
    <col min="12" max="12" width="11.6640625" bestFit="1" customWidth="1"/>
    <col min="14" max="14" width="10.6640625" bestFit="1" customWidth="1"/>
    <col min="16" max="16" width="12.6640625" bestFit="1" customWidth="1"/>
    <col min="17" max="19" width="13.109375" bestFit="1" customWidth="1"/>
  </cols>
  <sheetData>
    <row r="1" spans="1:20" x14ac:dyDescent="0.3">
      <c r="A1" s="10" t="s">
        <v>43</v>
      </c>
      <c r="B1" s="3" t="s">
        <v>44</v>
      </c>
      <c r="C1" s="4" t="s">
        <v>44</v>
      </c>
      <c r="D1" s="4" t="s">
        <v>60</v>
      </c>
      <c r="E1" s="10" t="s">
        <v>47</v>
      </c>
      <c r="H1" s="11" t="s">
        <v>47</v>
      </c>
      <c r="I1" s="3" t="s">
        <v>44</v>
      </c>
      <c r="J1" s="3" t="s">
        <v>45</v>
      </c>
      <c r="K1" s="3" t="s">
        <v>60</v>
      </c>
      <c r="L1" s="10" t="s">
        <v>48</v>
      </c>
      <c r="Q1">
        <v>-1</v>
      </c>
      <c r="R1">
        <v>-1</v>
      </c>
      <c r="S1">
        <v>1</v>
      </c>
    </row>
    <row r="2" spans="1:20" x14ac:dyDescent="0.3">
      <c r="A2" s="10"/>
      <c r="B2" s="3" t="s">
        <v>46</v>
      </c>
      <c r="C2" s="4" t="s">
        <v>46</v>
      </c>
      <c r="D2" s="4" t="s">
        <v>46</v>
      </c>
      <c r="E2" s="10"/>
      <c r="H2" s="11"/>
      <c r="I2" s="3" t="s">
        <v>61</v>
      </c>
      <c r="J2" s="3" t="s">
        <v>62</v>
      </c>
      <c r="K2" s="3" t="s">
        <v>63</v>
      </c>
      <c r="L2" s="10"/>
      <c r="M2" s="2" t="s">
        <v>49</v>
      </c>
      <c r="P2" t="s">
        <v>58</v>
      </c>
      <c r="Q2" t="s">
        <v>44</v>
      </c>
      <c r="R2" t="s">
        <v>45</v>
      </c>
      <c r="S2" t="s">
        <v>60</v>
      </c>
      <c r="T2" t="s">
        <v>48</v>
      </c>
    </row>
    <row r="3" spans="1:20" x14ac:dyDescent="0.3">
      <c r="A3" s="5">
        <v>45292</v>
      </c>
      <c r="B3" s="4">
        <f>(SUMIF('Test Account 1'!$K:$K,Calculations!$A3,'Test Account 1'!$L:$L)*-1)</f>
        <v>-111</v>
      </c>
      <c r="C3" s="4">
        <f>(SUMIF('Test Account 2'!$K:$K,Calculations!$A3,'Test Account 2'!$L:$L)*-1)</f>
        <v>-111</v>
      </c>
      <c r="D3" s="4">
        <f>SUMIF('Test Account 3'!$J:$J,Calculations!$A3,'Test Account 3'!$K:$K)</f>
        <v>111</v>
      </c>
      <c r="E3" s="3">
        <f t="shared" ref="E3:E34" si="0">MONTH(A3)</f>
        <v>1</v>
      </c>
      <c r="H3" s="3">
        <v>1</v>
      </c>
      <c r="I3" s="6">
        <f t="shared" ref="I3:I14" si="1">SUMIF($E:$E,$H3,$B:$B)</f>
        <v>-2966</v>
      </c>
      <c r="J3" s="6">
        <f t="shared" ref="J3:J14" si="2">SUMIF($E:$E,$H3,$C:$C)</f>
        <v>-4298</v>
      </c>
      <c r="K3" s="6">
        <f>SUMIF(E:E,H3,D:D)</f>
        <v>7608</v>
      </c>
      <c r="L3" s="8">
        <f t="shared" ref="L3:L15" si="3">SUM(I3:K3)</f>
        <v>344</v>
      </c>
      <c r="P3" t="s">
        <v>53</v>
      </c>
      <c r="Q3">
        <f>SUMIF('Test Account 1'!$D:$D,Calculations!$P3,'Test Account 1'!$L:$L)*$Q$1</f>
        <v>-444</v>
      </c>
      <c r="R3">
        <f>SUMIF('Test Account 2'!$D:$D,Calculations!$P3,'Test Account 2'!$L:$L)*$R$1</f>
        <v>-444</v>
      </c>
      <c r="S3">
        <f>SUMIF('Test Account 3'!$C:$C,Calculations!$P3,'Test Account 3'!$K:$K)*$S$1</f>
        <v>444</v>
      </c>
      <c r="T3">
        <f>SUM(Q3:S3)</f>
        <v>-444</v>
      </c>
    </row>
    <row r="4" spans="1:20" x14ac:dyDescent="0.3">
      <c r="A4" s="5">
        <f>A3+1</f>
        <v>45293</v>
      </c>
      <c r="B4" s="4">
        <f>(SUMIF('Test Account 1'!$K:$K,Calculations!$A4,'Test Account 1'!$L:$L)*-1)</f>
        <v>-222</v>
      </c>
      <c r="C4" s="4">
        <f>(SUMIF('Test Account 2'!$K:$K,Calculations!$A4,'Test Account 2'!$L:$L)*-1)</f>
        <v>-222</v>
      </c>
      <c r="D4" s="4">
        <f>SUMIF('Test Account 3'!$J:$J,Calculations!$A4,'Test Account 3'!$K:$K)</f>
        <v>-222</v>
      </c>
      <c r="E4" s="3">
        <f t="shared" si="0"/>
        <v>1</v>
      </c>
      <c r="H4" s="3">
        <f>H3+1</f>
        <v>2</v>
      </c>
      <c r="I4" s="6">
        <f t="shared" si="1"/>
        <v>-2633</v>
      </c>
      <c r="J4" s="6">
        <f t="shared" si="2"/>
        <v>-3965</v>
      </c>
      <c r="K4" s="6">
        <f>SUMIF(E:E,H4,D:D)</f>
        <v>3780</v>
      </c>
      <c r="L4" s="8">
        <f t="shared" si="3"/>
        <v>-2818</v>
      </c>
      <c r="P4" t="s">
        <v>54</v>
      </c>
      <c r="Q4">
        <f>SUMIF('Test Account 1'!$D:$D,Calculations!$P4,'Test Account 1'!$L:$L)*$Q$1</f>
        <v>-888</v>
      </c>
      <c r="R4">
        <f>SUMIF('Test Account 2'!$D:$D,Calculations!$P4,'Test Account 2'!$L:$L)*$R$1</f>
        <v>-888</v>
      </c>
      <c r="S4">
        <f>SUMIF('Test Account 3'!$C:$C,Calculations!$P4,'Test Account 3'!$K:$K)*$S$1</f>
        <v>-888</v>
      </c>
      <c r="T4">
        <f t="shared" ref="T4:T7" si="4">SUM(Q4:S4)</f>
        <v>-2664</v>
      </c>
    </row>
    <row r="5" spans="1:20" x14ac:dyDescent="0.3">
      <c r="A5" s="5">
        <f t="shared" ref="A5:A68" si="5">A4+1</f>
        <v>45294</v>
      </c>
      <c r="B5" s="4">
        <f>(SUMIF('Test Account 1'!$K:$K,Calculations!$A5,'Test Account 1'!$L:$L)*-1)</f>
        <v>-333</v>
      </c>
      <c r="C5" s="4">
        <f>(SUMIF('Test Account 2'!$K:$K,Calculations!$A5,'Test Account 2'!$L:$L)*-1)</f>
        <v>-333</v>
      </c>
      <c r="D5" s="4">
        <f>SUMIF('Test Account 3'!$J:$J,Calculations!$A5,'Test Account 3'!$K:$K)</f>
        <v>333</v>
      </c>
      <c r="E5" s="3">
        <f t="shared" si="0"/>
        <v>1</v>
      </c>
      <c r="H5" s="3">
        <f t="shared" ref="H5:H14" si="6">H4+1</f>
        <v>3</v>
      </c>
      <c r="I5" s="6">
        <f t="shared" si="1"/>
        <v>-3965</v>
      </c>
      <c r="J5" s="6">
        <f t="shared" si="2"/>
        <v>-3965</v>
      </c>
      <c r="K5" s="6">
        <f>SUMIF(E:E,H5,D:D)</f>
        <v>2056</v>
      </c>
      <c r="L5" s="8">
        <f t="shared" si="3"/>
        <v>-5874</v>
      </c>
      <c r="P5" t="s">
        <v>55</v>
      </c>
      <c r="Q5">
        <f>SUMIF('Test Account 1'!$D:$D,Calculations!$P5,'Test Account 1'!$L:$L)*$Q$1</f>
        <v>-666</v>
      </c>
      <c r="R5">
        <f>SUMIF('Test Account 2'!$D:$D,Calculations!$P5,'Test Account 2'!$L:$L)*$R$1</f>
        <v>-1332</v>
      </c>
      <c r="S5">
        <f>SUMIF('Test Account 3'!$C:$C,Calculations!$P5,'Test Account 3'!$K:$K)*$S$1</f>
        <v>1332</v>
      </c>
      <c r="T5">
        <f t="shared" si="4"/>
        <v>-666</v>
      </c>
    </row>
    <row r="6" spans="1:20" x14ac:dyDescent="0.3">
      <c r="A6" s="5">
        <f t="shared" si="5"/>
        <v>45295</v>
      </c>
      <c r="B6" s="4">
        <f>(SUMIF('Test Account 1'!$K:$K,Calculations!$A6,'Test Account 1'!$L:$L)*-1)</f>
        <v>-444</v>
      </c>
      <c r="C6" s="4">
        <f>(SUMIF('Test Account 2'!$K:$K,Calculations!$A6,'Test Account 2'!$L:$L)*-1)</f>
        <v>-444</v>
      </c>
      <c r="D6" s="4">
        <f>SUMIF('Test Account 3'!$J:$J,Calculations!$A6,'Test Account 3'!$K:$K)</f>
        <v>-444</v>
      </c>
      <c r="E6" s="3">
        <f t="shared" si="0"/>
        <v>1</v>
      </c>
      <c r="H6" s="3">
        <f t="shared" si="6"/>
        <v>4</v>
      </c>
      <c r="I6" s="6">
        <f t="shared" si="1"/>
        <v>-3632</v>
      </c>
      <c r="J6" s="6">
        <f t="shared" si="2"/>
        <v>-3632</v>
      </c>
      <c r="K6" s="6">
        <f>SUMIF(E:E,H6,D:D)</f>
        <v>1807</v>
      </c>
      <c r="L6" s="8">
        <f t="shared" si="3"/>
        <v>-5457</v>
      </c>
      <c r="P6" t="s">
        <v>56</v>
      </c>
      <c r="Q6">
        <f>SUMIF('Test Account 1'!$D:$D,Calculations!$P6,'Test Account 1'!$L:$L)*$Q$1</f>
        <v>-888</v>
      </c>
      <c r="R6">
        <f>SUMIF('Test Account 2'!$D:$D,Calculations!$P6,'Test Account 2'!$L:$L)*$R$1</f>
        <v>-1776</v>
      </c>
      <c r="S6">
        <f>SUMIF('Test Account 3'!$C:$C,Calculations!$P6,'Test Account 3'!$K:$K)*$S$1</f>
        <v>-1776</v>
      </c>
      <c r="T6">
        <f t="shared" si="4"/>
        <v>-4440</v>
      </c>
    </row>
    <row r="7" spans="1:20" x14ac:dyDescent="0.3">
      <c r="A7" s="5">
        <f t="shared" si="5"/>
        <v>45296</v>
      </c>
      <c r="B7" s="4">
        <f>(SUMIF('Test Account 1'!$K:$K,Calculations!$A7,'Test Account 1'!$L:$L)*-1)</f>
        <v>-555</v>
      </c>
      <c r="C7" s="4">
        <f>(SUMIF('Test Account 2'!$K:$K,Calculations!$A7,'Test Account 2'!$L:$L)*-1)</f>
        <v>-555</v>
      </c>
      <c r="D7" s="4">
        <f>SUMIF('Test Account 3'!$J:$J,Calculations!$A7,'Test Account 3'!$K:$K)</f>
        <v>555</v>
      </c>
      <c r="E7" s="3">
        <f t="shared" si="0"/>
        <v>1</v>
      </c>
      <c r="H7" s="3">
        <f t="shared" si="6"/>
        <v>5</v>
      </c>
      <c r="I7" s="6">
        <f t="shared" si="1"/>
        <v>0</v>
      </c>
      <c r="J7" s="6">
        <f t="shared" si="2"/>
        <v>0</v>
      </c>
      <c r="K7" s="6">
        <f t="shared" ref="K7:K14" si="7">SUMIF($E:$E,$H7,$D:$D)</f>
        <v>0</v>
      </c>
      <c r="L7" s="8">
        <f t="shared" si="3"/>
        <v>0</v>
      </c>
      <c r="P7" t="s">
        <v>57</v>
      </c>
      <c r="Q7">
        <f>SUMIF('Test Account 1'!$D:$D,Calculations!$P7,'Test Account 1'!$L:$L)*$Q$1</f>
        <v>-1110</v>
      </c>
      <c r="R7">
        <f>SUMIF('Test Account 2'!$D:$D,Calculations!$P7,'Test Account 2'!$L:$L)*$R$1</f>
        <v>-2220</v>
      </c>
      <c r="S7">
        <f>SUMIF('Test Account 3'!$C:$C,Calculations!$P7,'Test Account 3'!$K:$K)*$S$1</f>
        <v>2220</v>
      </c>
      <c r="T7">
        <f t="shared" si="4"/>
        <v>-1110</v>
      </c>
    </row>
    <row r="8" spans="1:20" x14ac:dyDescent="0.3">
      <c r="A8" s="5">
        <f t="shared" si="5"/>
        <v>45297</v>
      </c>
      <c r="B8" s="4">
        <f>(SUMIF('Test Account 1'!$K:$K,Calculations!$A8,'Test Account 1'!$L:$L)*-1)</f>
        <v>-100</v>
      </c>
      <c r="C8" s="4">
        <f>(SUMIF('Test Account 2'!$K:$K,Calculations!$A8,'Test Account 2'!$L:$L)*-1)</f>
        <v>-100</v>
      </c>
      <c r="D8" s="4">
        <f>SUMIF('Test Account 3'!$J:$J,Calculations!$A8,'Test Account 3'!$K:$K)</f>
        <v>-100</v>
      </c>
      <c r="E8" s="3">
        <f t="shared" si="0"/>
        <v>1</v>
      </c>
      <c r="H8" s="3">
        <f t="shared" si="6"/>
        <v>6</v>
      </c>
      <c r="I8" s="6">
        <f t="shared" si="1"/>
        <v>0</v>
      </c>
      <c r="J8" s="6">
        <f t="shared" si="2"/>
        <v>0</v>
      </c>
      <c r="K8" s="6">
        <f t="shared" si="7"/>
        <v>0</v>
      </c>
      <c r="L8" s="8">
        <f t="shared" si="3"/>
        <v>0</v>
      </c>
    </row>
    <row r="9" spans="1:20" x14ac:dyDescent="0.3">
      <c r="A9" s="5">
        <f t="shared" si="5"/>
        <v>45298</v>
      </c>
      <c r="B9" s="4">
        <f>(SUMIF('Test Account 1'!$K:$K,Calculations!$A9,'Test Account 1'!$L:$L)*-1)</f>
        <v>-100</v>
      </c>
      <c r="C9" s="4">
        <f>(SUMIF('Test Account 2'!$K:$K,Calculations!$A9,'Test Account 2'!$L:$L)*-1)</f>
        <v>-100</v>
      </c>
      <c r="D9" s="4">
        <f>SUMIF('Test Account 3'!$J:$J,Calculations!$A9,'Test Account 3'!$K:$K)</f>
        <v>100</v>
      </c>
      <c r="E9" s="3">
        <f t="shared" si="0"/>
        <v>1</v>
      </c>
      <c r="H9" s="3">
        <f t="shared" si="6"/>
        <v>7</v>
      </c>
      <c r="I9" s="6">
        <f t="shared" si="1"/>
        <v>0</v>
      </c>
      <c r="J9" s="6">
        <f t="shared" si="2"/>
        <v>0</v>
      </c>
      <c r="K9" s="6">
        <f t="shared" si="7"/>
        <v>0</v>
      </c>
      <c r="L9" s="8">
        <f t="shared" si="3"/>
        <v>0</v>
      </c>
    </row>
    <row r="10" spans="1:20" x14ac:dyDescent="0.3">
      <c r="A10" s="5">
        <f t="shared" si="5"/>
        <v>45299</v>
      </c>
      <c r="B10" s="4">
        <f>(SUMIF('Test Account 1'!$K:$K,Calculations!$A10,'Test Account 1'!$L:$L)*-1)</f>
        <v>-100</v>
      </c>
      <c r="C10" s="4">
        <f>(SUMIF('Test Account 2'!$K:$K,Calculations!$A10,'Test Account 2'!$L:$L)*-1)</f>
        <v>-100</v>
      </c>
      <c r="D10" s="4">
        <f>SUMIF('Test Account 3'!$J:$J,Calculations!$A10,'Test Account 3'!$K:$K)</f>
        <v>-100</v>
      </c>
      <c r="E10" s="3">
        <f t="shared" si="0"/>
        <v>1</v>
      </c>
      <c r="H10" s="3">
        <f t="shared" si="6"/>
        <v>8</v>
      </c>
      <c r="I10" s="6">
        <f t="shared" si="1"/>
        <v>0</v>
      </c>
      <c r="J10" s="6">
        <f t="shared" si="2"/>
        <v>0</v>
      </c>
      <c r="K10" s="6">
        <f t="shared" si="7"/>
        <v>0</v>
      </c>
      <c r="L10" s="8">
        <f t="shared" si="3"/>
        <v>0</v>
      </c>
    </row>
    <row r="11" spans="1:20" x14ac:dyDescent="0.3">
      <c r="A11" s="5">
        <f t="shared" si="5"/>
        <v>45300</v>
      </c>
      <c r="B11" s="4">
        <f>(SUMIF('Test Account 1'!$K:$K,Calculations!$A11,'Test Account 1'!$L:$L)*-1)</f>
        <v>-100</v>
      </c>
      <c r="C11" s="4">
        <f>(SUMIF('Test Account 2'!$K:$K,Calculations!$A11,'Test Account 2'!$L:$L)*-1)</f>
        <v>-100</v>
      </c>
      <c r="D11" s="4">
        <f>SUMIF('Test Account 3'!$J:$J,Calculations!$A11,'Test Account 3'!$K:$K)</f>
        <v>100</v>
      </c>
      <c r="E11" s="3">
        <f t="shared" si="0"/>
        <v>1</v>
      </c>
      <c r="H11" s="3">
        <f t="shared" si="6"/>
        <v>9</v>
      </c>
      <c r="I11" s="6">
        <f t="shared" si="1"/>
        <v>0</v>
      </c>
      <c r="J11" s="6">
        <f t="shared" si="2"/>
        <v>0</v>
      </c>
      <c r="K11" s="6">
        <f t="shared" si="7"/>
        <v>0</v>
      </c>
      <c r="L11" s="8">
        <f t="shared" si="3"/>
        <v>0</v>
      </c>
    </row>
    <row r="12" spans="1:20" x14ac:dyDescent="0.3">
      <c r="A12" s="5">
        <f t="shared" si="5"/>
        <v>45301</v>
      </c>
      <c r="B12" s="4">
        <f>(SUMIF('Test Account 1'!$K:$K,Calculations!$A12,'Test Account 1'!$L:$L)*-1)</f>
        <v>-100</v>
      </c>
      <c r="C12" s="4">
        <f>(SUMIF('Test Account 2'!$K:$K,Calculations!$A12,'Test Account 2'!$L:$L)*-1)</f>
        <v>-100</v>
      </c>
      <c r="D12" s="4">
        <f>SUMIF('Test Account 3'!$J:$J,Calculations!$A12,'Test Account 3'!$K:$K)</f>
        <v>-100</v>
      </c>
      <c r="E12" s="3">
        <f t="shared" si="0"/>
        <v>1</v>
      </c>
      <c r="H12" s="3">
        <f t="shared" si="6"/>
        <v>10</v>
      </c>
      <c r="I12" s="6">
        <f t="shared" si="1"/>
        <v>0</v>
      </c>
      <c r="J12" s="6">
        <f t="shared" si="2"/>
        <v>0</v>
      </c>
      <c r="K12" s="6">
        <f t="shared" si="7"/>
        <v>0</v>
      </c>
      <c r="L12" s="8">
        <f t="shared" si="3"/>
        <v>0</v>
      </c>
    </row>
    <row r="13" spans="1:20" x14ac:dyDescent="0.3">
      <c r="A13" s="5">
        <f t="shared" si="5"/>
        <v>45302</v>
      </c>
      <c r="B13" s="4">
        <f>(SUMIF('Test Account 1'!$K:$K,Calculations!$A13,'Test Account 1'!$L:$L)*-1)</f>
        <v>-100</v>
      </c>
      <c r="C13" s="4">
        <f>(SUMIF('Test Account 2'!$K:$K,Calculations!$A13,'Test Account 2'!$L:$L)*-1)</f>
        <v>-100</v>
      </c>
      <c r="D13" s="4">
        <f>SUMIF('Test Account 3'!$J:$J,Calculations!$A13,'Test Account 3'!$K:$K)</f>
        <v>100</v>
      </c>
      <c r="E13" s="3">
        <f t="shared" si="0"/>
        <v>1</v>
      </c>
      <c r="H13" s="3">
        <f t="shared" si="6"/>
        <v>11</v>
      </c>
      <c r="I13" s="6">
        <f t="shared" si="1"/>
        <v>0</v>
      </c>
      <c r="J13" s="6">
        <f t="shared" si="2"/>
        <v>0</v>
      </c>
      <c r="K13" s="6">
        <f t="shared" si="7"/>
        <v>0</v>
      </c>
      <c r="L13" s="8">
        <f t="shared" si="3"/>
        <v>0</v>
      </c>
    </row>
    <row r="14" spans="1:20" x14ac:dyDescent="0.3">
      <c r="A14" s="5">
        <f t="shared" si="5"/>
        <v>45303</v>
      </c>
      <c r="B14" s="4">
        <f>(SUMIF('Test Account 1'!$K:$K,Calculations!$A14,'Test Account 1'!$L:$L)*-1)</f>
        <v>-100</v>
      </c>
      <c r="C14" s="4">
        <f>(SUMIF('Test Account 2'!$K:$K,Calculations!$A14,'Test Account 2'!$L:$L)*-1)</f>
        <v>-100</v>
      </c>
      <c r="D14" s="4">
        <f>SUMIF('Test Account 3'!$J:$J,Calculations!$A14,'Test Account 3'!$K:$K)</f>
        <v>-100</v>
      </c>
      <c r="E14" s="3">
        <f t="shared" si="0"/>
        <v>1</v>
      </c>
      <c r="H14" s="3">
        <f t="shared" si="6"/>
        <v>12</v>
      </c>
      <c r="I14" s="6">
        <f t="shared" si="1"/>
        <v>0</v>
      </c>
      <c r="J14" s="6">
        <f t="shared" si="2"/>
        <v>0</v>
      </c>
      <c r="K14" s="6">
        <f t="shared" si="7"/>
        <v>0</v>
      </c>
      <c r="L14" s="8">
        <f t="shared" si="3"/>
        <v>0</v>
      </c>
    </row>
    <row r="15" spans="1:20" x14ac:dyDescent="0.3">
      <c r="A15" s="5">
        <f t="shared" si="5"/>
        <v>45304</v>
      </c>
      <c r="B15" s="4">
        <f>(SUMIF('Test Account 1'!$K:$K,Calculations!$A15,'Test Account 1'!$L:$L)*-1)</f>
        <v>100</v>
      </c>
      <c r="C15" s="4">
        <f>(SUMIF('Test Account 2'!$K:$K,Calculations!$A15,'Test Account 2'!$L:$L)*-1)</f>
        <v>100</v>
      </c>
      <c r="D15" s="4">
        <f>SUMIF('Test Account 3'!$J:$J,Calculations!$A15,'Test Account 3'!$K:$K)</f>
        <v>7475</v>
      </c>
      <c r="E15" s="3">
        <f t="shared" si="0"/>
        <v>1</v>
      </c>
      <c r="I15" s="7">
        <f>SUM(I3:I14)</f>
        <v>-13196</v>
      </c>
      <c r="J15" s="7">
        <f>SUM(J3:J14)</f>
        <v>-15860</v>
      </c>
      <c r="K15" s="7">
        <f>SUM(K3:K14)</f>
        <v>15251</v>
      </c>
      <c r="L15" s="7">
        <f t="shared" si="3"/>
        <v>-13805</v>
      </c>
    </row>
    <row r="16" spans="1:20" x14ac:dyDescent="0.3">
      <c r="A16" s="5">
        <f t="shared" si="5"/>
        <v>45305</v>
      </c>
      <c r="B16" s="4">
        <f>(SUMIF('Test Account 1'!$K:$K,Calculations!$A16,'Test Account 1'!$L:$L)*-1)</f>
        <v>-100</v>
      </c>
      <c r="C16" s="4">
        <f>(SUMIF('Test Account 2'!$K:$K,Calculations!$A16,'Test Account 2'!$L:$L)*-1)</f>
        <v>-100</v>
      </c>
      <c r="D16" s="4">
        <f>SUMIF('Test Account 3'!$J:$J,Calculations!$A16,'Test Account 3'!$K:$K)</f>
        <v>-100</v>
      </c>
      <c r="E16" s="3">
        <f t="shared" si="0"/>
        <v>1</v>
      </c>
    </row>
    <row r="17" spans="1:14" x14ac:dyDescent="0.3">
      <c r="A17" s="5">
        <f t="shared" si="5"/>
        <v>45306</v>
      </c>
      <c r="B17" s="4">
        <f>(SUMIF('Test Account 1'!$K:$K,Calculations!$A17,'Test Account 1'!$L:$L)*-1)</f>
        <v>-100</v>
      </c>
      <c r="C17" s="4">
        <f>(SUMIF('Test Account 2'!$K:$K,Calculations!$A17,'Test Account 2'!$L:$L)*-1)</f>
        <v>-100</v>
      </c>
      <c r="D17" s="4">
        <f>SUMIF('Test Account 3'!$J:$J,Calculations!$A17,'Test Account 3'!$K:$K)</f>
        <v>100</v>
      </c>
      <c r="E17" s="3">
        <f t="shared" si="0"/>
        <v>1</v>
      </c>
      <c r="L17" s="7">
        <f>SUM(L3:L14)</f>
        <v>-13805</v>
      </c>
    </row>
    <row r="18" spans="1:14" x14ac:dyDescent="0.3">
      <c r="A18" s="5">
        <f t="shared" si="5"/>
        <v>45307</v>
      </c>
      <c r="B18" s="4">
        <f>(SUMIF('Test Account 1'!$K:$K,Calculations!$A18,'Test Account 1'!$L:$L)*-1)</f>
        <v>-100</v>
      </c>
      <c r="C18" s="4">
        <f>(SUMIF('Test Account 2'!$K:$K,Calculations!$A18,'Test Account 2'!$L:$L)*-1)</f>
        <v>-100</v>
      </c>
      <c r="D18" s="4">
        <f>SUMIF('Test Account 3'!$J:$J,Calculations!$A18,'Test Account 3'!$K:$K)</f>
        <v>-100</v>
      </c>
      <c r="E18" s="3">
        <f t="shared" si="0"/>
        <v>1</v>
      </c>
    </row>
    <row r="19" spans="1:14" x14ac:dyDescent="0.3">
      <c r="A19" s="5">
        <f t="shared" si="5"/>
        <v>45308</v>
      </c>
      <c r="B19" s="4">
        <f>(SUMIF('Test Account 1'!$K:$K,Calculations!$A19,'Test Account 1'!$L:$L)*-1)</f>
        <v>0</v>
      </c>
      <c r="C19" s="4">
        <f>(SUMIF('Test Account 2'!$K:$K,Calculations!$A19,'Test Account 2'!$L:$L)*-1)</f>
        <v>0</v>
      </c>
      <c r="D19" s="4">
        <f>SUMIF('Test Account 3'!$J:$J,Calculations!$A19,'Test Account 3'!$K:$K)</f>
        <v>0</v>
      </c>
      <c r="E19" s="3">
        <f t="shared" si="0"/>
        <v>1</v>
      </c>
    </row>
    <row r="20" spans="1:14" x14ac:dyDescent="0.3">
      <c r="A20" s="5">
        <f t="shared" si="5"/>
        <v>45309</v>
      </c>
      <c r="B20" s="4">
        <f>(SUMIF('Test Account 1'!$K:$K,Calculations!$A20,'Test Account 1'!$L:$L)*-1)</f>
        <v>-100</v>
      </c>
      <c r="C20" s="4">
        <f>(SUMIF('Test Account 2'!$K:$K,Calculations!$A20,'Test Account 2'!$L:$L)*-1)</f>
        <v>-100</v>
      </c>
      <c r="D20" s="4">
        <f>SUMIF('Test Account 3'!$J:$J,Calculations!$A20,'Test Account 3'!$K:$K)</f>
        <v>-100</v>
      </c>
      <c r="E20" s="3">
        <f t="shared" si="0"/>
        <v>1</v>
      </c>
    </row>
    <row r="21" spans="1:14" x14ac:dyDescent="0.3">
      <c r="A21" s="5">
        <f t="shared" si="5"/>
        <v>45310</v>
      </c>
      <c r="B21" s="4">
        <f>(SUMIF('Test Account 1'!$K:$K,Calculations!$A21,'Test Account 1'!$L:$L)*-1)</f>
        <v>-100</v>
      </c>
      <c r="C21" s="4">
        <f>(SUMIF('Test Account 2'!$K:$K,Calculations!$A21,'Test Account 2'!$L:$L)*-1)</f>
        <v>-100</v>
      </c>
      <c r="D21" s="4">
        <f>SUMIF('Test Account 3'!$J:$J,Calculations!$A21,'Test Account 3'!$K:$K)</f>
        <v>100</v>
      </c>
      <c r="E21" s="3">
        <f t="shared" si="0"/>
        <v>1</v>
      </c>
      <c r="N21" s="7">
        <f>SUM(L3:L4)</f>
        <v>-2474</v>
      </c>
    </row>
    <row r="22" spans="1:14" x14ac:dyDescent="0.3">
      <c r="A22" s="5">
        <f t="shared" si="5"/>
        <v>45311</v>
      </c>
      <c r="B22" s="4">
        <f>(SUMIF('Test Account 1'!$K:$K,Calculations!$A22,'Test Account 1'!$L:$L)*-1)</f>
        <v>-100</v>
      </c>
      <c r="C22" s="4">
        <f>(SUMIF('Test Account 2'!$K:$K,Calculations!$A22,'Test Account 2'!$L:$L)*-1)</f>
        <v>-100</v>
      </c>
      <c r="D22" s="4">
        <f>SUMIF('Test Account 3'!$J:$J,Calculations!$A22,'Test Account 3'!$K:$K)</f>
        <v>-100</v>
      </c>
      <c r="E22" s="3">
        <f t="shared" si="0"/>
        <v>1</v>
      </c>
    </row>
    <row r="23" spans="1:14" x14ac:dyDescent="0.3">
      <c r="A23" s="5">
        <f t="shared" si="5"/>
        <v>45312</v>
      </c>
      <c r="B23" s="4">
        <f>(SUMIF('Test Account 1'!$K:$K,Calculations!$A23,'Test Account 1'!$L:$L)*-1)</f>
        <v>-100</v>
      </c>
      <c r="C23" s="4">
        <f>(SUMIF('Test Account 2'!$K:$K,Calculations!$A23,'Test Account 2'!$L:$L)*-1)</f>
        <v>-100</v>
      </c>
      <c r="D23" s="4">
        <f>SUMIF('Test Account 3'!$J:$J,Calculations!$A23,'Test Account 3'!$K:$K)</f>
        <v>100</v>
      </c>
      <c r="E23" s="3">
        <f t="shared" si="0"/>
        <v>1</v>
      </c>
    </row>
    <row r="24" spans="1:14" x14ac:dyDescent="0.3">
      <c r="A24" s="5">
        <f t="shared" si="5"/>
        <v>45313</v>
      </c>
      <c r="B24" s="4">
        <f>(SUMIF('Test Account 1'!$K:$K,Calculations!$A24,'Test Account 1'!$L:$L)*-1)</f>
        <v>-100</v>
      </c>
      <c r="C24" s="4">
        <f>(SUMIF('Test Account 2'!$K:$K,Calculations!$A24,'Test Account 2'!$L:$L)*-1)</f>
        <v>-100</v>
      </c>
      <c r="D24" s="4">
        <f>SUMIF('Test Account 3'!$J:$J,Calculations!$A24,'Test Account 3'!$K:$K)</f>
        <v>-100</v>
      </c>
      <c r="E24" s="3">
        <f t="shared" si="0"/>
        <v>1</v>
      </c>
    </row>
    <row r="25" spans="1:14" x14ac:dyDescent="0.3">
      <c r="A25" s="5">
        <f t="shared" si="5"/>
        <v>45314</v>
      </c>
      <c r="B25" s="4">
        <f>(SUMIF('Test Account 1'!$K:$K,Calculations!$A25,'Test Account 1'!$L:$L)*-1)</f>
        <v>-100</v>
      </c>
      <c r="C25" s="4">
        <f>(SUMIF('Test Account 2'!$K:$K,Calculations!$A25,'Test Account 2'!$L:$L)*-1)</f>
        <v>-100</v>
      </c>
      <c r="D25" s="4">
        <f>SUMIF('Test Account 3'!$J:$J,Calculations!$A25,'Test Account 3'!$K:$K)</f>
        <v>100</v>
      </c>
      <c r="E25" s="3">
        <f t="shared" si="0"/>
        <v>1</v>
      </c>
    </row>
    <row r="26" spans="1:14" x14ac:dyDescent="0.3">
      <c r="A26" s="5">
        <f t="shared" si="5"/>
        <v>45315</v>
      </c>
      <c r="B26" s="4">
        <f>(SUMIF('Test Account 1'!$K:$K,Calculations!$A26,'Test Account 1'!$L:$L)*-1)</f>
        <v>-100</v>
      </c>
      <c r="C26" s="4">
        <f>(SUMIF('Test Account 2'!$K:$K,Calculations!$A26,'Test Account 2'!$L:$L)*-1)</f>
        <v>-100</v>
      </c>
      <c r="D26" s="4">
        <f>SUMIF('Test Account 3'!$J:$J,Calculations!$A26,'Test Account 3'!$K:$K)</f>
        <v>-100</v>
      </c>
      <c r="E26" s="3">
        <f t="shared" si="0"/>
        <v>1</v>
      </c>
    </row>
    <row r="27" spans="1:14" x14ac:dyDescent="0.3">
      <c r="A27" s="5">
        <f t="shared" si="5"/>
        <v>45316</v>
      </c>
      <c r="B27" s="4">
        <f>(SUMIF('Test Account 1'!$K:$K,Calculations!$A27,'Test Account 1'!$L:$L)*-1)</f>
        <v>-100</v>
      </c>
      <c r="C27" s="4">
        <f>(SUMIF('Test Account 2'!$K:$K,Calculations!$A27,'Test Account 2'!$L:$L)*-1)</f>
        <v>-100</v>
      </c>
      <c r="D27" s="4">
        <f>SUMIF('Test Account 3'!$J:$J,Calculations!$A27,'Test Account 3'!$K:$K)</f>
        <v>100</v>
      </c>
      <c r="E27" s="3">
        <f t="shared" si="0"/>
        <v>1</v>
      </c>
    </row>
    <row r="28" spans="1:14" x14ac:dyDescent="0.3">
      <c r="A28" s="5">
        <f t="shared" si="5"/>
        <v>45317</v>
      </c>
      <c r="B28" s="4">
        <f>(SUMIF('Test Account 1'!$K:$K,Calculations!$A28,'Test Account 1'!$L:$L)*-1)</f>
        <v>-100</v>
      </c>
      <c r="C28" s="4">
        <f>(SUMIF('Test Account 2'!$K:$K,Calculations!$A28,'Test Account 2'!$L:$L)*-1)</f>
        <v>-100</v>
      </c>
      <c r="D28" s="4">
        <f>SUMIF('Test Account 3'!$J:$J,Calculations!$A28,'Test Account 3'!$K:$K)</f>
        <v>-100</v>
      </c>
      <c r="E28" s="3">
        <f t="shared" si="0"/>
        <v>1</v>
      </c>
    </row>
    <row r="29" spans="1:14" x14ac:dyDescent="0.3">
      <c r="A29" s="5">
        <f t="shared" si="5"/>
        <v>45318</v>
      </c>
      <c r="B29" s="4">
        <f>(SUMIF('Test Account 1'!$K:$K,Calculations!$A29,'Test Account 1'!$L:$L)*-1)</f>
        <v>-100</v>
      </c>
      <c r="C29" s="4">
        <f>(SUMIF('Test Account 2'!$K:$K,Calculations!$A29,'Test Account 2'!$L:$L)*-1)</f>
        <v>-100</v>
      </c>
      <c r="D29" s="4">
        <f>SUMIF('Test Account 3'!$J:$J,Calculations!$A29,'Test Account 3'!$K:$K)</f>
        <v>100</v>
      </c>
      <c r="E29" s="3">
        <f t="shared" si="0"/>
        <v>1</v>
      </c>
    </row>
    <row r="30" spans="1:14" x14ac:dyDescent="0.3">
      <c r="A30" s="5">
        <f t="shared" si="5"/>
        <v>45319</v>
      </c>
      <c r="B30" s="4">
        <f>(SUMIF('Test Account 1'!$K:$K,Calculations!$A30,'Test Account 1'!$L:$L)*-1)</f>
        <v>-100</v>
      </c>
      <c r="C30" s="4">
        <f>(SUMIF('Test Account 2'!$K:$K,Calculations!$A30,'Test Account 2'!$L:$L)*-1)</f>
        <v>-100</v>
      </c>
      <c r="D30" s="4">
        <f>SUMIF('Test Account 3'!$J:$J,Calculations!$A30,'Test Account 3'!$K:$K)</f>
        <v>-100</v>
      </c>
      <c r="E30" s="3">
        <f t="shared" si="0"/>
        <v>1</v>
      </c>
    </row>
    <row r="31" spans="1:14" x14ac:dyDescent="0.3">
      <c r="A31" s="5">
        <f t="shared" si="5"/>
        <v>45320</v>
      </c>
      <c r="B31" s="4">
        <f>(SUMIF('Test Account 1'!$K:$K,Calculations!$A31,'Test Account 1'!$L:$L)*-1)</f>
        <v>-100</v>
      </c>
      <c r="C31" s="4">
        <f>(SUMIF('Test Account 2'!$K:$K,Calculations!$A31,'Test Account 2'!$L:$L)*-1)</f>
        <v>-100</v>
      </c>
      <c r="D31" s="4">
        <f>SUMIF('Test Account 3'!$J:$J,Calculations!$A31,'Test Account 3'!$K:$K)</f>
        <v>100</v>
      </c>
      <c r="E31" s="3">
        <f t="shared" si="0"/>
        <v>1</v>
      </c>
    </row>
    <row r="32" spans="1:14" x14ac:dyDescent="0.3">
      <c r="A32" s="5">
        <f t="shared" si="5"/>
        <v>45321</v>
      </c>
      <c r="B32" s="4">
        <f>(SUMIF('Test Account 1'!$K:$K,Calculations!$A32,'Test Account 1'!$L:$L)*-1)</f>
        <v>-211</v>
      </c>
      <c r="C32" s="4">
        <f>(SUMIF('Test Account 2'!$K:$K,Calculations!$A32,'Test Account 2'!$L:$L)*-1)</f>
        <v>-211</v>
      </c>
      <c r="D32" s="4">
        <f>SUMIF('Test Account 3'!$J:$J,Calculations!$A32,'Test Account 3'!$K:$K)</f>
        <v>-100</v>
      </c>
      <c r="E32" s="3">
        <f t="shared" si="0"/>
        <v>1</v>
      </c>
    </row>
    <row r="33" spans="1:8" x14ac:dyDescent="0.3">
      <c r="A33" s="5">
        <f t="shared" si="5"/>
        <v>45322</v>
      </c>
      <c r="B33" s="4">
        <f>(SUMIF('Test Account 1'!$K:$K,Calculations!$A33,'Test Account 1'!$L:$L)*-1)</f>
        <v>1010</v>
      </c>
      <c r="C33" s="4">
        <f>(SUMIF('Test Account 2'!$K:$K,Calculations!$A33,'Test Account 2'!$L:$L)*-1)</f>
        <v>-322</v>
      </c>
      <c r="D33" s="4">
        <f>SUMIF('Test Account 3'!$J:$J,Calculations!$A33,'Test Account 3'!$K:$K)</f>
        <v>100</v>
      </c>
      <c r="E33" s="3">
        <f t="shared" si="0"/>
        <v>1</v>
      </c>
    </row>
    <row r="34" spans="1:8" x14ac:dyDescent="0.3">
      <c r="A34" s="5">
        <f t="shared" si="5"/>
        <v>45323</v>
      </c>
      <c r="B34" s="4">
        <f>(SUMIF('Test Account 1'!$K:$K,Calculations!$A34,'Test Account 1'!$L:$L)*-1)</f>
        <v>0</v>
      </c>
      <c r="C34" s="4">
        <f>(SUMIF('Test Account 2'!$K:$K,Calculations!$A34,'Test Account 2'!$L:$L)*-1)</f>
        <v>-333</v>
      </c>
      <c r="D34" s="4">
        <f>SUMIF('Test Account 3'!$J:$J,Calculations!$A34,'Test Account 3'!$K:$K)</f>
        <v>111</v>
      </c>
      <c r="E34" s="3">
        <f t="shared" si="0"/>
        <v>2</v>
      </c>
      <c r="F34" s="7">
        <f>SUM(B34:D34)</f>
        <v>-222</v>
      </c>
      <c r="G34" s="7">
        <f>F34</f>
        <v>-222</v>
      </c>
      <c r="H34">
        <f>DAY(A34)</f>
        <v>1</v>
      </c>
    </row>
    <row r="35" spans="1:8" x14ac:dyDescent="0.3">
      <c r="A35" s="5">
        <f t="shared" si="5"/>
        <v>45324</v>
      </c>
      <c r="B35" s="4">
        <f>(SUMIF('Test Account 1'!$K:$K,Calculations!$A35,'Test Account 1'!$L:$L)*-1)</f>
        <v>0</v>
      </c>
      <c r="C35" s="4">
        <f>(SUMIF('Test Account 2'!$K:$K,Calculations!$A35,'Test Account 2'!$L:$L)*-1)</f>
        <v>-444</v>
      </c>
      <c r="D35" s="4">
        <f>SUMIF('Test Account 3'!$J:$J,Calculations!$A35,'Test Account 3'!$K:$K)</f>
        <v>-222</v>
      </c>
      <c r="E35" s="3">
        <f t="shared" ref="E35:E67" si="8">MONTH(A35)</f>
        <v>2</v>
      </c>
      <c r="F35" s="7">
        <f t="shared" ref="F35:F62" si="9">SUM(B35:D35)</f>
        <v>-666</v>
      </c>
      <c r="G35" s="7">
        <f>F35+G34</f>
        <v>-888</v>
      </c>
      <c r="H35">
        <f t="shared" ref="H35:H62" si="10">DAY(A35)</f>
        <v>2</v>
      </c>
    </row>
    <row r="36" spans="1:8" x14ac:dyDescent="0.3">
      <c r="A36" s="5">
        <f t="shared" si="5"/>
        <v>45325</v>
      </c>
      <c r="B36" s="4">
        <f>(SUMIF('Test Account 1'!$K:$K,Calculations!$A36,'Test Account 1'!$L:$L)*-1)</f>
        <v>0</v>
      </c>
      <c r="C36" s="4">
        <f>(SUMIF('Test Account 2'!$K:$K,Calculations!$A36,'Test Account 2'!$L:$L)*-1)</f>
        <v>-555</v>
      </c>
      <c r="D36" s="4">
        <f>SUMIF('Test Account 3'!$J:$J,Calculations!$A36,'Test Account 3'!$K:$K)</f>
        <v>333</v>
      </c>
      <c r="E36" s="3">
        <f t="shared" si="8"/>
        <v>2</v>
      </c>
      <c r="F36" s="7">
        <f t="shared" si="9"/>
        <v>-222</v>
      </c>
      <c r="G36" s="7">
        <f t="shared" ref="G36:G62" si="11">F36+G35</f>
        <v>-1110</v>
      </c>
      <c r="H36">
        <f t="shared" si="10"/>
        <v>3</v>
      </c>
    </row>
    <row r="37" spans="1:8" x14ac:dyDescent="0.3">
      <c r="A37" s="5">
        <f t="shared" si="5"/>
        <v>45326</v>
      </c>
      <c r="B37" s="4">
        <f>(SUMIF('Test Account 1'!$K:$K,Calculations!$A37,'Test Account 1'!$L:$L)*-1)</f>
        <v>-100</v>
      </c>
      <c r="C37" s="4">
        <f>(SUMIF('Test Account 2'!$K:$K,Calculations!$A37,'Test Account 2'!$L:$L)*-1)</f>
        <v>-100</v>
      </c>
      <c r="D37" s="4">
        <f>SUMIF('Test Account 3'!$J:$J,Calculations!$A37,'Test Account 3'!$K:$K)</f>
        <v>-444</v>
      </c>
      <c r="E37" s="3">
        <f t="shared" si="8"/>
        <v>2</v>
      </c>
      <c r="F37" s="7">
        <f t="shared" si="9"/>
        <v>-644</v>
      </c>
      <c r="G37" s="7">
        <f t="shared" si="11"/>
        <v>-1754</v>
      </c>
      <c r="H37">
        <f t="shared" si="10"/>
        <v>4</v>
      </c>
    </row>
    <row r="38" spans="1:8" x14ac:dyDescent="0.3">
      <c r="A38" s="5">
        <f t="shared" si="5"/>
        <v>45327</v>
      </c>
      <c r="B38" s="4">
        <f>(SUMIF('Test Account 1'!$K:$K,Calculations!$A38,'Test Account 1'!$L:$L)*-1)</f>
        <v>-100</v>
      </c>
      <c r="C38" s="4">
        <f>(SUMIF('Test Account 2'!$K:$K,Calculations!$A38,'Test Account 2'!$L:$L)*-1)</f>
        <v>-100</v>
      </c>
      <c r="D38" s="4">
        <f>SUMIF('Test Account 3'!$J:$J,Calculations!$A38,'Test Account 3'!$K:$K)</f>
        <v>555</v>
      </c>
      <c r="E38" s="3">
        <f t="shared" si="8"/>
        <v>2</v>
      </c>
      <c r="F38" s="7">
        <f t="shared" si="9"/>
        <v>355</v>
      </c>
      <c r="G38" s="7">
        <f t="shared" si="11"/>
        <v>-1399</v>
      </c>
      <c r="H38">
        <f t="shared" si="10"/>
        <v>5</v>
      </c>
    </row>
    <row r="39" spans="1:8" x14ac:dyDescent="0.3">
      <c r="A39" s="5">
        <f t="shared" si="5"/>
        <v>45328</v>
      </c>
      <c r="B39" s="4">
        <f>(SUMIF('Test Account 1'!$K:$K,Calculations!$A39,'Test Account 1'!$L:$L)*-1)</f>
        <v>-100</v>
      </c>
      <c r="C39" s="4">
        <f>(SUMIF('Test Account 2'!$K:$K,Calculations!$A39,'Test Account 2'!$L:$L)*-1)</f>
        <v>-100</v>
      </c>
      <c r="D39" s="4">
        <f>SUMIF('Test Account 3'!$J:$J,Calculations!$A39,'Test Account 3'!$K:$K)</f>
        <v>-100</v>
      </c>
      <c r="E39" s="3">
        <f t="shared" si="8"/>
        <v>2</v>
      </c>
      <c r="F39" s="7">
        <f t="shared" si="9"/>
        <v>-300</v>
      </c>
      <c r="G39" s="7">
        <f t="shared" si="11"/>
        <v>-1699</v>
      </c>
      <c r="H39">
        <f t="shared" si="10"/>
        <v>6</v>
      </c>
    </row>
    <row r="40" spans="1:8" x14ac:dyDescent="0.3">
      <c r="A40" s="5">
        <f t="shared" si="5"/>
        <v>45329</v>
      </c>
      <c r="B40" s="4">
        <f>(SUMIF('Test Account 1'!$K:$K,Calculations!$A40,'Test Account 1'!$L:$L)*-1)</f>
        <v>-100</v>
      </c>
      <c r="C40" s="4">
        <f>(SUMIF('Test Account 2'!$K:$K,Calculations!$A40,'Test Account 2'!$L:$L)*-1)</f>
        <v>-100</v>
      </c>
      <c r="D40" s="4">
        <f>SUMIF('Test Account 3'!$J:$J,Calculations!$A40,'Test Account 3'!$K:$K)</f>
        <v>100</v>
      </c>
      <c r="E40" s="3">
        <f t="shared" si="8"/>
        <v>2</v>
      </c>
      <c r="F40" s="7">
        <f t="shared" si="9"/>
        <v>-100</v>
      </c>
      <c r="G40" s="7">
        <f t="shared" si="11"/>
        <v>-1799</v>
      </c>
      <c r="H40">
        <f t="shared" si="10"/>
        <v>7</v>
      </c>
    </row>
    <row r="41" spans="1:8" x14ac:dyDescent="0.3">
      <c r="A41" s="5">
        <f t="shared" si="5"/>
        <v>45330</v>
      </c>
      <c r="B41" s="4">
        <f>(SUMIF('Test Account 1'!$K:$K,Calculations!$A41,'Test Account 1'!$L:$L)*-1)</f>
        <v>-100</v>
      </c>
      <c r="C41" s="4">
        <f>(SUMIF('Test Account 2'!$K:$K,Calculations!$A41,'Test Account 2'!$L:$L)*-1)</f>
        <v>-100</v>
      </c>
      <c r="D41" s="4">
        <f>SUMIF('Test Account 3'!$J:$J,Calculations!$A41,'Test Account 3'!$K:$K)</f>
        <v>-100</v>
      </c>
      <c r="E41" s="3">
        <f t="shared" si="8"/>
        <v>2</v>
      </c>
      <c r="F41" s="7">
        <f t="shared" si="9"/>
        <v>-300</v>
      </c>
      <c r="G41" s="7">
        <f t="shared" si="11"/>
        <v>-2099</v>
      </c>
      <c r="H41">
        <f t="shared" si="10"/>
        <v>8</v>
      </c>
    </row>
    <row r="42" spans="1:8" x14ac:dyDescent="0.3">
      <c r="A42" s="5">
        <f t="shared" si="5"/>
        <v>45331</v>
      </c>
      <c r="B42" s="4">
        <f>(SUMIF('Test Account 1'!$K:$K,Calculations!$A42,'Test Account 1'!$L:$L)*-1)</f>
        <v>-100</v>
      </c>
      <c r="C42" s="4">
        <f>(SUMIF('Test Account 2'!$K:$K,Calculations!$A42,'Test Account 2'!$L:$L)*-1)</f>
        <v>-100</v>
      </c>
      <c r="D42" s="4">
        <f>SUMIF('Test Account 3'!$J:$J,Calculations!$A42,'Test Account 3'!$K:$K)</f>
        <v>100</v>
      </c>
      <c r="E42" s="3">
        <f t="shared" si="8"/>
        <v>2</v>
      </c>
      <c r="F42" s="7">
        <f t="shared" si="9"/>
        <v>-100</v>
      </c>
      <c r="G42" s="7">
        <f t="shared" si="11"/>
        <v>-2199</v>
      </c>
      <c r="H42">
        <f t="shared" si="10"/>
        <v>9</v>
      </c>
    </row>
    <row r="43" spans="1:8" x14ac:dyDescent="0.3">
      <c r="A43" s="5">
        <f t="shared" si="5"/>
        <v>45332</v>
      </c>
      <c r="B43" s="4">
        <f>(SUMIF('Test Account 1'!$K:$K,Calculations!$A43,'Test Account 1'!$L:$L)*-1)</f>
        <v>-100</v>
      </c>
      <c r="C43" s="4">
        <f>(SUMIF('Test Account 2'!$K:$K,Calculations!$A43,'Test Account 2'!$L:$L)*-1)</f>
        <v>-100</v>
      </c>
      <c r="D43" s="4">
        <f>SUMIF('Test Account 3'!$J:$J,Calculations!$A43,'Test Account 3'!$K:$K)</f>
        <v>-100</v>
      </c>
      <c r="E43" s="3">
        <f t="shared" si="8"/>
        <v>2</v>
      </c>
      <c r="F43" s="7">
        <f t="shared" si="9"/>
        <v>-300</v>
      </c>
      <c r="G43" s="7">
        <f t="shared" si="11"/>
        <v>-2499</v>
      </c>
      <c r="H43">
        <f t="shared" si="10"/>
        <v>10</v>
      </c>
    </row>
    <row r="44" spans="1:8" x14ac:dyDescent="0.3">
      <c r="A44" s="5">
        <f t="shared" si="5"/>
        <v>45333</v>
      </c>
      <c r="B44" s="4">
        <f>(SUMIF('Test Account 1'!$K:$K,Calculations!$A44,'Test Account 1'!$L:$L)*-1)</f>
        <v>100</v>
      </c>
      <c r="C44" s="4">
        <f>(SUMIF('Test Account 2'!$K:$K,Calculations!$A44,'Test Account 2'!$L:$L)*-1)</f>
        <v>100</v>
      </c>
      <c r="D44" s="4">
        <f>SUMIF('Test Account 3'!$J:$J,Calculations!$A44,'Test Account 3'!$K:$K)</f>
        <v>100</v>
      </c>
      <c r="E44" s="3">
        <f t="shared" si="8"/>
        <v>2</v>
      </c>
      <c r="F44" s="7">
        <f t="shared" si="9"/>
        <v>300</v>
      </c>
      <c r="G44" s="7">
        <f t="shared" si="11"/>
        <v>-2199</v>
      </c>
      <c r="H44">
        <f t="shared" si="10"/>
        <v>11</v>
      </c>
    </row>
    <row r="45" spans="1:8" x14ac:dyDescent="0.3">
      <c r="A45" s="5">
        <f t="shared" si="5"/>
        <v>45334</v>
      </c>
      <c r="B45" s="4">
        <f>(SUMIF('Test Account 1'!$K:$K,Calculations!$A45,'Test Account 1'!$L:$L)*-1)</f>
        <v>-100</v>
      </c>
      <c r="C45" s="4">
        <f>(SUMIF('Test Account 2'!$K:$K,Calculations!$A45,'Test Account 2'!$L:$L)*-1)</f>
        <v>-100</v>
      </c>
      <c r="D45" s="4">
        <f>SUMIF('Test Account 3'!$J:$J,Calculations!$A45,'Test Account 3'!$K:$K)</f>
        <v>-100</v>
      </c>
      <c r="E45" s="3">
        <f t="shared" si="8"/>
        <v>2</v>
      </c>
      <c r="F45" s="7">
        <f t="shared" si="9"/>
        <v>-300</v>
      </c>
      <c r="G45" s="7">
        <f t="shared" si="11"/>
        <v>-2499</v>
      </c>
      <c r="H45">
        <f t="shared" si="10"/>
        <v>12</v>
      </c>
    </row>
    <row r="46" spans="1:8" x14ac:dyDescent="0.3">
      <c r="A46" s="5">
        <f t="shared" si="5"/>
        <v>45335</v>
      </c>
      <c r="B46" s="4">
        <f>(SUMIF('Test Account 1'!$K:$K,Calculations!$A46,'Test Account 1'!$L:$L)*-1)</f>
        <v>-100</v>
      </c>
      <c r="C46" s="4">
        <f>(SUMIF('Test Account 2'!$K:$K,Calculations!$A46,'Test Account 2'!$L:$L)*-1)</f>
        <v>-100</v>
      </c>
      <c r="D46" s="4">
        <f>SUMIF('Test Account 3'!$J:$J,Calculations!$A46,'Test Account 3'!$K:$K)</f>
        <v>3647</v>
      </c>
      <c r="E46" s="3">
        <f t="shared" si="8"/>
        <v>2</v>
      </c>
      <c r="F46" s="7">
        <f t="shared" si="9"/>
        <v>3447</v>
      </c>
      <c r="G46" s="7">
        <f t="shared" si="11"/>
        <v>948</v>
      </c>
      <c r="H46">
        <f t="shared" si="10"/>
        <v>13</v>
      </c>
    </row>
    <row r="47" spans="1:8" x14ac:dyDescent="0.3">
      <c r="A47" s="5">
        <f t="shared" si="5"/>
        <v>45336</v>
      </c>
      <c r="B47" s="4">
        <f>(SUMIF('Test Account 1'!$K:$K,Calculations!$A47,'Test Account 1'!$L:$L)*-1)</f>
        <v>-100</v>
      </c>
      <c r="C47" s="4">
        <f>(SUMIF('Test Account 2'!$K:$K,Calculations!$A47,'Test Account 2'!$L:$L)*-1)</f>
        <v>-100</v>
      </c>
      <c r="D47" s="4">
        <f>SUMIF('Test Account 3'!$J:$J,Calculations!$A47,'Test Account 3'!$K:$K)</f>
        <v>-100</v>
      </c>
      <c r="E47" s="3">
        <f t="shared" si="8"/>
        <v>2</v>
      </c>
      <c r="F47" s="7">
        <f t="shared" si="9"/>
        <v>-300</v>
      </c>
      <c r="G47" s="7">
        <f t="shared" si="11"/>
        <v>648</v>
      </c>
      <c r="H47">
        <f t="shared" si="10"/>
        <v>14</v>
      </c>
    </row>
    <row r="48" spans="1:8" x14ac:dyDescent="0.3">
      <c r="A48" s="5">
        <f t="shared" si="5"/>
        <v>45337</v>
      </c>
      <c r="B48" s="4">
        <f>(SUMIF('Test Account 1'!$K:$K,Calculations!$A48,'Test Account 1'!$L:$L)*-1)</f>
        <v>0</v>
      </c>
      <c r="C48" s="4">
        <f>(SUMIF('Test Account 2'!$K:$K,Calculations!$A48,'Test Account 2'!$L:$L)*-1)</f>
        <v>0</v>
      </c>
      <c r="D48" s="4">
        <f>SUMIF('Test Account 3'!$J:$J,Calculations!$A48,'Test Account 3'!$K:$K)</f>
        <v>100</v>
      </c>
      <c r="E48" s="3">
        <f t="shared" si="8"/>
        <v>2</v>
      </c>
      <c r="F48" s="7">
        <f t="shared" si="9"/>
        <v>100</v>
      </c>
      <c r="G48" s="7">
        <f t="shared" si="11"/>
        <v>748</v>
      </c>
      <c r="H48">
        <f t="shared" si="10"/>
        <v>15</v>
      </c>
    </row>
    <row r="49" spans="1:8" x14ac:dyDescent="0.3">
      <c r="A49" s="5">
        <f t="shared" si="5"/>
        <v>45338</v>
      </c>
      <c r="B49" s="4">
        <f>(SUMIF('Test Account 1'!$K:$K,Calculations!$A49,'Test Account 1'!$L:$L)*-1)</f>
        <v>-100</v>
      </c>
      <c r="C49" s="4">
        <f>(SUMIF('Test Account 2'!$K:$K,Calculations!$A49,'Test Account 2'!$L:$L)*-1)</f>
        <v>-100</v>
      </c>
      <c r="D49" s="4">
        <f>SUMIF('Test Account 3'!$J:$J,Calculations!$A49,'Test Account 3'!$K:$K)</f>
        <v>-100</v>
      </c>
      <c r="E49" s="3">
        <f t="shared" si="8"/>
        <v>2</v>
      </c>
      <c r="F49" s="7">
        <f t="shared" si="9"/>
        <v>-300</v>
      </c>
      <c r="G49" s="7">
        <f t="shared" si="11"/>
        <v>448</v>
      </c>
      <c r="H49">
        <f t="shared" si="10"/>
        <v>16</v>
      </c>
    </row>
    <row r="50" spans="1:8" x14ac:dyDescent="0.3">
      <c r="A50" s="5">
        <f t="shared" si="5"/>
        <v>45339</v>
      </c>
      <c r="B50" s="4">
        <f>(SUMIF('Test Account 1'!$K:$K,Calculations!$A50,'Test Account 1'!$L:$L)*-1)</f>
        <v>-100</v>
      </c>
      <c r="C50" s="4">
        <f>(SUMIF('Test Account 2'!$K:$K,Calculations!$A50,'Test Account 2'!$L:$L)*-1)</f>
        <v>-100</v>
      </c>
      <c r="D50" s="4">
        <f>SUMIF('Test Account 3'!$J:$J,Calculations!$A50,'Test Account 3'!$K:$K)</f>
        <v>0</v>
      </c>
      <c r="E50" s="3">
        <f t="shared" si="8"/>
        <v>2</v>
      </c>
      <c r="F50" s="7">
        <f t="shared" si="9"/>
        <v>-200</v>
      </c>
      <c r="G50" s="7">
        <f t="shared" si="11"/>
        <v>248</v>
      </c>
      <c r="H50">
        <f t="shared" si="10"/>
        <v>17</v>
      </c>
    </row>
    <row r="51" spans="1:8" x14ac:dyDescent="0.3">
      <c r="A51" s="5">
        <f t="shared" si="5"/>
        <v>45340</v>
      </c>
      <c r="B51" s="4">
        <f>(SUMIF('Test Account 1'!$K:$K,Calculations!$A51,'Test Account 1'!$L:$L)*-1)</f>
        <v>-100</v>
      </c>
      <c r="C51" s="4">
        <f>(SUMIF('Test Account 2'!$K:$K,Calculations!$A51,'Test Account 2'!$L:$L)*-1)</f>
        <v>-100</v>
      </c>
      <c r="D51" s="4">
        <f>SUMIF('Test Account 3'!$J:$J,Calculations!$A51,'Test Account 3'!$K:$K)</f>
        <v>-100</v>
      </c>
      <c r="E51" s="3">
        <f t="shared" si="8"/>
        <v>2</v>
      </c>
      <c r="F51" s="7">
        <f t="shared" si="9"/>
        <v>-300</v>
      </c>
      <c r="G51" s="7">
        <f t="shared" si="11"/>
        <v>-52</v>
      </c>
      <c r="H51">
        <f t="shared" si="10"/>
        <v>18</v>
      </c>
    </row>
    <row r="52" spans="1:8" x14ac:dyDescent="0.3">
      <c r="A52" s="5">
        <f t="shared" si="5"/>
        <v>45341</v>
      </c>
      <c r="B52" s="4">
        <f>(SUMIF('Test Account 1'!$K:$K,Calculations!$A52,'Test Account 1'!$L:$L)*-1)</f>
        <v>-100</v>
      </c>
      <c r="C52" s="4">
        <f>(SUMIF('Test Account 2'!$K:$K,Calculations!$A52,'Test Account 2'!$L:$L)*-1)</f>
        <v>-100</v>
      </c>
      <c r="D52" s="4">
        <f>SUMIF('Test Account 3'!$J:$J,Calculations!$A52,'Test Account 3'!$K:$K)</f>
        <v>100</v>
      </c>
      <c r="E52" s="3">
        <f t="shared" si="8"/>
        <v>2</v>
      </c>
      <c r="F52" s="7">
        <f t="shared" si="9"/>
        <v>-100</v>
      </c>
      <c r="G52" s="7">
        <f t="shared" si="11"/>
        <v>-152</v>
      </c>
      <c r="H52">
        <f t="shared" si="10"/>
        <v>19</v>
      </c>
    </row>
    <row r="53" spans="1:8" x14ac:dyDescent="0.3">
      <c r="A53" s="5">
        <f t="shared" si="5"/>
        <v>45342</v>
      </c>
      <c r="B53" s="4">
        <f>(SUMIF('Test Account 1'!$K:$K,Calculations!$A53,'Test Account 1'!$L:$L)*-1)</f>
        <v>-100</v>
      </c>
      <c r="C53" s="4">
        <f>(SUMIF('Test Account 2'!$K:$K,Calculations!$A53,'Test Account 2'!$L:$L)*-1)</f>
        <v>-100</v>
      </c>
      <c r="D53" s="4">
        <f>SUMIF('Test Account 3'!$J:$J,Calculations!$A53,'Test Account 3'!$K:$K)</f>
        <v>-100</v>
      </c>
      <c r="E53" s="3">
        <f t="shared" si="8"/>
        <v>2</v>
      </c>
      <c r="F53" s="7">
        <f t="shared" si="9"/>
        <v>-300</v>
      </c>
      <c r="G53" s="7">
        <f t="shared" si="11"/>
        <v>-452</v>
      </c>
      <c r="H53">
        <f t="shared" si="10"/>
        <v>20</v>
      </c>
    </row>
    <row r="54" spans="1:8" x14ac:dyDescent="0.3">
      <c r="A54" s="5">
        <f t="shared" si="5"/>
        <v>45343</v>
      </c>
      <c r="B54" s="4">
        <f>(SUMIF('Test Account 1'!$K:$K,Calculations!$A54,'Test Account 1'!$L:$L)*-1)</f>
        <v>-100</v>
      </c>
      <c r="C54" s="4">
        <f>(SUMIF('Test Account 2'!$K:$K,Calculations!$A54,'Test Account 2'!$L:$L)*-1)</f>
        <v>-100</v>
      </c>
      <c r="D54" s="4">
        <f>SUMIF('Test Account 3'!$J:$J,Calculations!$A54,'Test Account 3'!$K:$K)</f>
        <v>100</v>
      </c>
      <c r="E54" s="3">
        <f t="shared" si="8"/>
        <v>2</v>
      </c>
      <c r="F54" s="7">
        <f t="shared" si="9"/>
        <v>-100</v>
      </c>
      <c r="G54" s="7">
        <f t="shared" si="11"/>
        <v>-552</v>
      </c>
      <c r="H54">
        <f t="shared" si="10"/>
        <v>21</v>
      </c>
    </row>
    <row r="55" spans="1:8" x14ac:dyDescent="0.3">
      <c r="A55" s="5">
        <f t="shared" si="5"/>
        <v>45344</v>
      </c>
      <c r="B55" s="4">
        <f>(SUMIF('Test Account 1'!$K:$K,Calculations!$A55,'Test Account 1'!$L:$L)*-1)</f>
        <v>-100</v>
      </c>
      <c r="C55" s="4">
        <f>(SUMIF('Test Account 2'!$K:$K,Calculations!$A55,'Test Account 2'!$L:$L)*-1)</f>
        <v>-100</v>
      </c>
      <c r="D55" s="4">
        <f>SUMIF('Test Account 3'!$J:$J,Calculations!$A55,'Test Account 3'!$K:$K)</f>
        <v>-100</v>
      </c>
      <c r="E55" s="3">
        <f t="shared" si="8"/>
        <v>2</v>
      </c>
      <c r="F55" s="7">
        <f t="shared" si="9"/>
        <v>-300</v>
      </c>
      <c r="G55" s="7">
        <f t="shared" si="11"/>
        <v>-852</v>
      </c>
      <c r="H55">
        <f t="shared" si="10"/>
        <v>22</v>
      </c>
    </row>
    <row r="56" spans="1:8" x14ac:dyDescent="0.3">
      <c r="A56" s="5">
        <f t="shared" si="5"/>
        <v>45345</v>
      </c>
      <c r="B56" s="4">
        <f>(SUMIF('Test Account 1'!$K:$K,Calculations!$A56,'Test Account 1'!$L:$L)*-1)</f>
        <v>-100</v>
      </c>
      <c r="C56" s="4">
        <f>(SUMIF('Test Account 2'!$K:$K,Calculations!$A56,'Test Account 2'!$L:$L)*-1)</f>
        <v>-100</v>
      </c>
      <c r="D56" s="4">
        <f>SUMIF('Test Account 3'!$J:$J,Calculations!$A56,'Test Account 3'!$K:$K)</f>
        <v>100</v>
      </c>
      <c r="E56" s="3">
        <f t="shared" si="8"/>
        <v>2</v>
      </c>
      <c r="F56" s="7">
        <f t="shared" si="9"/>
        <v>-100</v>
      </c>
      <c r="G56" s="7">
        <f t="shared" si="11"/>
        <v>-952</v>
      </c>
      <c r="H56">
        <f t="shared" si="10"/>
        <v>23</v>
      </c>
    </row>
    <row r="57" spans="1:8" x14ac:dyDescent="0.3">
      <c r="A57" s="5">
        <f t="shared" si="5"/>
        <v>45346</v>
      </c>
      <c r="B57" s="4">
        <f>(SUMIF('Test Account 1'!$K:$K,Calculations!$A57,'Test Account 1'!$L:$L)*-1)</f>
        <v>-100</v>
      </c>
      <c r="C57" s="4">
        <f>(SUMIF('Test Account 2'!$K:$K,Calculations!$A57,'Test Account 2'!$L:$L)*-1)</f>
        <v>-100</v>
      </c>
      <c r="D57" s="4">
        <f>SUMIF('Test Account 3'!$J:$J,Calculations!$A57,'Test Account 3'!$K:$K)</f>
        <v>-100</v>
      </c>
      <c r="E57" s="3">
        <f t="shared" si="8"/>
        <v>2</v>
      </c>
      <c r="F57" s="7">
        <f t="shared" si="9"/>
        <v>-300</v>
      </c>
      <c r="G57" s="7">
        <f t="shared" si="11"/>
        <v>-1252</v>
      </c>
      <c r="H57">
        <f t="shared" si="10"/>
        <v>24</v>
      </c>
    </row>
    <row r="58" spans="1:8" x14ac:dyDescent="0.3">
      <c r="A58" s="5">
        <f t="shared" si="5"/>
        <v>45347</v>
      </c>
      <c r="B58" s="4">
        <f>(SUMIF('Test Account 1'!$K:$K,Calculations!$A58,'Test Account 1'!$L:$L)*-1)</f>
        <v>-100</v>
      </c>
      <c r="C58" s="4">
        <f>(SUMIF('Test Account 2'!$K:$K,Calculations!$A58,'Test Account 2'!$L:$L)*-1)</f>
        <v>-100</v>
      </c>
      <c r="D58" s="4">
        <f>SUMIF('Test Account 3'!$J:$J,Calculations!$A58,'Test Account 3'!$K:$K)</f>
        <v>100</v>
      </c>
      <c r="E58" s="3">
        <f t="shared" si="8"/>
        <v>2</v>
      </c>
      <c r="F58" s="7">
        <f t="shared" si="9"/>
        <v>-100</v>
      </c>
      <c r="G58" s="7">
        <f t="shared" si="11"/>
        <v>-1352</v>
      </c>
      <c r="H58">
        <f t="shared" si="10"/>
        <v>25</v>
      </c>
    </row>
    <row r="59" spans="1:8" x14ac:dyDescent="0.3">
      <c r="A59" s="5">
        <f t="shared" si="5"/>
        <v>45348</v>
      </c>
      <c r="B59" s="4">
        <f>(SUMIF('Test Account 1'!$K:$K,Calculations!$A59,'Test Account 1'!$L:$L)*-1)</f>
        <v>-100</v>
      </c>
      <c r="C59" s="4">
        <f>(SUMIF('Test Account 2'!$K:$K,Calculations!$A59,'Test Account 2'!$L:$L)*-1)</f>
        <v>-100</v>
      </c>
      <c r="D59" s="4">
        <f>SUMIF('Test Account 3'!$J:$J,Calculations!$A59,'Test Account 3'!$K:$K)</f>
        <v>-100</v>
      </c>
      <c r="E59" s="3">
        <f t="shared" si="8"/>
        <v>2</v>
      </c>
      <c r="F59" s="7">
        <f t="shared" si="9"/>
        <v>-300</v>
      </c>
      <c r="G59" s="7">
        <f t="shared" si="11"/>
        <v>-1652</v>
      </c>
      <c r="H59">
        <f t="shared" si="10"/>
        <v>26</v>
      </c>
    </row>
    <row r="60" spans="1:8" x14ac:dyDescent="0.3">
      <c r="A60" s="5">
        <f t="shared" si="5"/>
        <v>45349</v>
      </c>
      <c r="B60" s="4">
        <f>(SUMIF('Test Account 1'!$K:$K,Calculations!$A60,'Test Account 1'!$L:$L)*-1)</f>
        <v>-100</v>
      </c>
      <c r="C60" s="4">
        <f>(SUMIF('Test Account 2'!$K:$K,Calculations!$A60,'Test Account 2'!$L:$L)*-1)</f>
        <v>-100</v>
      </c>
      <c r="D60" s="4">
        <f>SUMIF('Test Account 3'!$J:$J,Calculations!$A60,'Test Account 3'!$K:$K)</f>
        <v>100</v>
      </c>
      <c r="E60" s="3">
        <f t="shared" si="8"/>
        <v>2</v>
      </c>
      <c r="F60" s="7">
        <f t="shared" si="9"/>
        <v>-100</v>
      </c>
      <c r="G60" s="7">
        <f t="shared" si="11"/>
        <v>-1752</v>
      </c>
      <c r="H60">
        <f t="shared" si="10"/>
        <v>27</v>
      </c>
    </row>
    <row r="61" spans="1:8" x14ac:dyDescent="0.3">
      <c r="A61" s="5">
        <f t="shared" si="5"/>
        <v>45350</v>
      </c>
      <c r="B61" s="4">
        <f>(SUMIF('Test Account 1'!$K:$K,Calculations!$A61,'Test Account 1'!$L:$L)*-1)</f>
        <v>-100</v>
      </c>
      <c r="C61" s="4">
        <f>(SUMIF('Test Account 2'!$K:$K,Calculations!$A61,'Test Account 2'!$L:$L)*-1)</f>
        <v>-100</v>
      </c>
      <c r="D61" s="4">
        <f>SUMIF('Test Account 3'!$J:$J,Calculations!$A61,'Test Account 3'!$K:$K)</f>
        <v>-100</v>
      </c>
      <c r="E61" s="3">
        <f t="shared" si="8"/>
        <v>2</v>
      </c>
      <c r="F61" s="7">
        <f t="shared" si="9"/>
        <v>-300</v>
      </c>
      <c r="G61" s="7">
        <f t="shared" si="11"/>
        <v>-2052</v>
      </c>
      <c r="H61">
        <f t="shared" si="10"/>
        <v>28</v>
      </c>
    </row>
    <row r="62" spans="1:8" x14ac:dyDescent="0.3">
      <c r="A62" s="5">
        <f t="shared" si="5"/>
        <v>45351</v>
      </c>
      <c r="B62" s="4">
        <f>(SUMIF('Test Account 1'!$K:$K,Calculations!$A62,'Test Account 1'!$L:$L)*-1)</f>
        <v>-433</v>
      </c>
      <c r="C62" s="4">
        <f>(SUMIF('Test Account 2'!$K:$K,Calculations!$A62,'Test Account 2'!$L:$L)*-1)</f>
        <v>-433</v>
      </c>
      <c r="D62" s="4">
        <f>SUMIF('Test Account 3'!$J:$J,Calculations!$A62,'Test Account 3'!$K:$K)</f>
        <v>100</v>
      </c>
      <c r="E62" s="3">
        <f t="shared" si="8"/>
        <v>2</v>
      </c>
      <c r="F62" s="7">
        <f t="shared" si="9"/>
        <v>-766</v>
      </c>
      <c r="G62" s="7">
        <f t="shared" si="11"/>
        <v>-2818</v>
      </c>
      <c r="H62">
        <f t="shared" si="10"/>
        <v>29</v>
      </c>
    </row>
    <row r="63" spans="1:8" x14ac:dyDescent="0.3">
      <c r="A63" s="5">
        <f t="shared" si="5"/>
        <v>45352</v>
      </c>
      <c r="B63" s="4">
        <f>(SUMIF('Test Account 1'!$K:$K,Calculations!$A63,'Test Account 1'!$L:$L)*-1)</f>
        <v>-333</v>
      </c>
      <c r="C63" s="4">
        <f>(SUMIF('Test Account 2'!$K:$K,Calculations!$A63,'Test Account 2'!$L:$L)*-1)</f>
        <v>-333</v>
      </c>
      <c r="D63" s="4">
        <f>SUMIF('Test Account 3'!$J:$J,Calculations!$A63,'Test Account 3'!$K:$K)</f>
        <v>111</v>
      </c>
      <c r="E63" s="3">
        <f t="shared" si="8"/>
        <v>3</v>
      </c>
    </row>
    <row r="64" spans="1:8" x14ac:dyDescent="0.3">
      <c r="A64" s="5">
        <f t="shared" si="5"/>
        <v>45353</v>
      </c>
      <c r="B64" s="4">
        <f>(SUMIF('Test Account 1'!$K:$K,Calculations!$A64,'Test Account 1'!$L:$L)*-1)</f>
        <v>-444</v>
      </c>
      <c r="C64" s="4">
        <f>(SUMIF('Test Account 2'!$K:$K,Calculations!$A64,'Test Account 2'!$L:$L)*-1)</f>
        <v>-444</v>
      </c>
      <c r="D64" s="4">
        <f>SUMIF('Test Account 3'!$J:$J,Calculations!$A64,'Test Account 3'!$K:$K)</f>
        <v>-222</v>
      </c>
      <c r="E64" s="3">
        <f t="shared" si="8"/>
        <v>3</v>
      </c>
    </row>
    <row r="65" spans="1:5" x14ac:dyDescent="0.3">
      <c r="A65" s="5">
        <f t="shared" si="5"/>
        <v>45354</v>
      </c>
      <c r="B65" s="4">
        <f>(SUMIF('Test Account 1'!$K:$K,Calculations!$A65,'Test Account 1'!$L:$L)*-1)</f>
        <v>-555</v>
      </c>
      <c r="C65" s="4">
        <f>(SUMIF('Test Account 2'!$K:$K,Calculations!$A65,'Test Account 2'!$L:$L)*-1)</f>
        <v>-555</v>
      </c>
      <c r="D65" s="4">
        <f>SUMIF('Test Account 3'!$J:$J,Calculations!$A65,'Test Account 3'!$K:$K)</f>
        <v>333</v>
      </c>
      <c r="E65" s="3">
        <f t="shared" si="8"/>
        <v>3</v>
      </c>
    </row>
    <row r="66" spans="1:5" x14ac:dyDescent="0.3">
      <c r="A66" s="5">
        <f t="shared" si="5"/>
        <v>45355</v>
      </c>
      <c r="B66" s="4">
        <f>(SUMIF('Test Account 1'!$K:$K,Calculations!$A66,'Test Account 1'!$L:$L)*-1)</f>
        <v>-100</v>
      </c>
      <c r="C66" s="4">
        <f>(SUMIF('Test Account 2'!$K:$K,Calculations!$A66,'Test Account 2'!$L:$L)*-1)</f>
        <v>-100</v>
      </c>
      <c r="D66" s="4">
        <f>SUMIF('Test Account 3'!$J:$J,Calculations!$A66,'Test Account 3'!$K:$K)</f>
        <v>-444</v>
      </c>
      <c r="E66" s="3">
        <f t="shared" si="8"/>
        <v>3</v>
      </c>
    </row>
    <row r="67" spans="1:5" x14ac:dyDescent="0.3">
      <c r="A67" s="5">
        <f t="shared" si="5"/>
        <v>45356</v>
      </c>
      <c r="B67" s="4">
        <f>(SUMIF('Test Account 1'!$K:$K,Calculations!$A67,'Test Account 1'!$L:$L)*-1)</f>
        <v>-100</v>
      </c>
      <c r="C67" s="4">
        <f>(SUMIF('Test Account 2'!$K:$K,Calculations!$A67,'Test Account 2'!$L:$L)*-1)</f>
        <v>-100</v>
      </c>
      <c r="D67" s="4">
        <f>SUMIF('Test Account 3'!$J:$J,Calculations!$A67,'Test Account 3'!$K:$K)</f>
        <v>555</v>
      </c>
      <c r="E67" s="3">
        <f t="shared" si="8"/>
        <v>3</v>
      </c>
    </row>
    <row r="68" spans="1:5" x14ac:dyDescent="0.3">
      <c r="A68" s="5">
        <f t="shared" si="5"/>
        <v>45357</v>
      </c>
      <c r="B68" s="4">
        <f>(SUMIF('Test Account 1'!$K:$K,Calculations!$A68,'Test Account 1'!$L:$L)*-1)</f>
        <v>-100</v>
      </c>
      <c r="C68" s="4">
        <f>(SUMIF('Test Account 2'!$K:$K,Calculations!$A68,'Test Account 2'!$L:$L)*-1)</f>
        <v>-100</v>
      </c>
      <c r="D68" s="4">
        <f>SUMIF('Test Account 3'!$J:$J,Calculations!$A68,'Test Account 3'!$K:$K)</f>
        <v>-100</v>
      </c>
      <c r="E68" s="3">
        <f t="shared" ref="E68:E71" si="12">MONTH(A68)</f>
        <v>3</v>
      </c>
    </row>
    <row r="69" spans="1:5" x14ac:dyDescent="0.3">
      <c r="A69" s="5">
        <f t="shared" ref="A69:A71" si="13">A68+1</f>
        <v>45358</v>
      </c>
      <c r="B69" s="4">
        <f>(SUMIF('Test Account 1'!$K:$K,Calculations!$A69,'Test Account 1'!$L:$L)*-1)</f>
        <v>-100</v>
      </c>
      <c r="C69" s="4">
        <f>(SUMIF('Test Account 2'!$K:$K,Calculations!$A69,'Test Account 2'!$L:$L)*-1)</f>
        <v>-100</v>
      </c>
      <c r="D69" s="4">
        <f>SUMIF('Test Account 3'!$J:$J,Calculations!$A69,'Test Account 3'!$K:$K)</f>
        <v>100</v>
      </c>
      <c r="E69" s="3">
        <f t="shared" si="12"/>
        <v>3</v>
      </c>
    </row>
    <row r="70" spans="1:5" x14ac:dyDescent="0.3">
      <c r="A70" s="5">
        <f t="shared" si="13"/>
        <v>45359</v>
      </c>
      <c r="B70" s="4">
        <f>(SUMIF('Test Account 1'!$K:$K,Calculations!$A70,'Test Account 1'!$L:$L)*-1)</f>
        <v>-100</v>
      </c>
      <c r="C70" s="4">
        <f>(SUMIF('Test Account 2'!$K:$K,Calculations!$A70,'Test Account 2'!$L:$L)*-1)</f>
        <v>-100</v>
      </c>
      <c r="D70" s="4">
        <f>SUMIF('Test Account 3'!$J:$J,Calculations!$A70,'Test Account 3'!$K:$K)</f>
        <v>-100</v>
      </c>
      <c r="E70" s="3">
        <f t="shared" si="12"/>
        <v>3</v>
      </c>
    </row>
    <row r="71" spans="1:5" x14ac:dyDescent="0.3">
      <c r="A71" s="5">
        <f t="shared" si="13"/>
        <v>45360</v>
      </c>
      <c r="B71" s="4">
        <f>(SUMIF('Test Account 1'!$K:$K,Calculations!$A71,'Test Account 1'!$L:$L)*-1)</f>
        <v>-100</v>
      </c>
      <c r="C71" s="4">
        <f>(SUMIF('Test Account 2'!$K:$K,Calculations!$A71,'Test Account 2'!$L:$L)*-1)</f>
        <v>-100</v>
      </c>
      <c r="D71" s="4">
        <f>SUMIF('Test Account 3'!$J:$J,Calculations!$A71,'Test Account 3'!$K:$K)</f>
        <v>100</v>
      </c>
      <c r="E71" s="3">
        <f t="shared" si="12"/>
        <v>3</v>
      </c>
    </row>
    <row r="72" spans="1:5" x14ac:dyDescent="0.3">
      <c r="A72" s="5">
        <f t="shared" ref="A72:A85" si="14">A71+1</f>
        <v>45361</v>
      </c>
      <c r="B72" s="4">
        <f>(SUMIF('Test Account 1'!$K:$K,Calculations!$A72,'Test Account 1'!$L:$L)*-1)</f>
        <v>-100</v>
      </c>
      <c r="C72" s="4">
        <f>(SUMIF('Test Account 2'!$K:$K,Calculations!$A72,'Test Account 2'!$L:$L)*-1)</f>
        <v>-100</v>
      </c>
      <c r="D72" s="4">
        <f>SUMIF('Test Account 3'!$J:$J,Calculations!$A72,'Test Account 3'!$K:$K)</f>
        <v>-100</v>
      </c>
      <c r="E72" s="3">
        <f t="shared" ref="E72:E85" si="15">MONTH(A72)</f>
        <v>3</v>
      </c>
    </row>
    <row r="73" spans="1:5" x14ac:dyDescent="0.3">
      <c r="A73" s="5">
        <f t="shared" si="14"/>
        <v>45362</v>
      </c>
      <c r="B73" s="4">
        <f>(SUMIF('Test Account 1'!$K:$K,Calculations!$A73,'Test Account 1'!$L:$L)*-1)</f>
        <v>100</v>
      </c>
      <c r="C73" s="4">
        <f>(SUMIF('Test Account 2'!$K:$K,Calculations!$A73,'Test Account 2'!$L:$L)*-1)</f>
        <v>100</v>
      </c>
      <c r="D73" s="4">
        <f>SUMIF('Test Account 3'!$J:$J,Calculations!$A73,'Test Account 3'!$K:$K)</f>
        <v>100</v>
      </c>
      <c r="E73" s="3">
        <f t="shared" si="15"/>
        <v>3</v>
      </c>
    </row>
    <row r="74" spans="1:5" x14ac:dyDescent="0.3">
      <c r="A74" s="5">
        <f t="shared" si="14"/>
        <v>45363</v>
      </c>
      <c r="B74" s="4">
        <f>(SUMIF('Test Account 1'!$K:$K,Calculations!$A74,'Test Account 1'!$L:$L)*-1)</f>
        <v>-100</v>
      </c>
      <c r="C74" s="4">
        <f>(SUMIF('Test Account 2'!$K:$K,Calculations!$A74,'Test Account 2'!$L:$L)*-1)</f>
        <v>-100</v>
      </c>
      <c r="D74" s="4">
        <f>SUMIF('Test Account 3'!$J:$J,Calculations!$A74,'Test Account 3'!$K:$K)</f>
        <v>-100</v>
      </c>
      <c r="E74" s="3">
        <f t="shared" si="15"/>
        <v>3</v>
      </c>
    </row>
    <row r="75" spans="1:5" x14ac:dyDescent="0.3">
      <c r="A75" s="5">
        <f t="shared" si="14"/>
        <v>45364</v>
      </c>
      <c r="B75" s="4">
        <f>(SUMIF('Test Account 1'!$K:$K,Calculations!$A75,'Test Account 1'!$L:$L)*-1)</f>
        <v>-100</v>
      </c>
      <c r="C75" s="4">
        <f>(SUMIF('Test Account 2'!$K:$K,Calculations!$A75,'Test Account 2'!$L:$L)*-1)</f>
        <v>-100</v>
      </c>
      <c r="D75" s="4">
        <f>SUMIF('Test Account 3'!$J:$J,Calculations!$A75,'Test Account 3'!$K:$K)</f>
        <v>1923</v>
      </c>
      <c r="E75" s="3">
        <f t="shared" si="15"/>
        <v>3</v>
      </c>
    </row>
    <row r="76" spans="1:5" x14ac:dyDescent="0.3">
      <c r="A76" s="5">
        <f t="shared" si="14"/>
        <v>45365</v>
      </c>
      <c r="B76" s="4">
        <f>(SUMIF('Test Account 1'!$K:$K,Calculations!$A76,'Test Account 1'!$L:$L)*-1)</f>
        <v>-100</v>
      </c>
      <c r="C76" s="4">
        <f>(SUMIF('Test Account 2'!$K:$K,Calculations!$A76,'Test Account 2'!$L:$L)*-1)</f>
        <v>-100</v>
      </c>
      <c r="D76" s="4">
        <f>SUMIF('Test Account 3'!$J:$J,Calculations!$A76,'Test Account 3'!$K:$K)</f>
        <v>-100</v>
      </c>
      <c r="E76" s="3">
        <f t="shared" si="15"/>
        <v>3</v>
      </c>
    </row>
    <row r="77" spans="1:5" x14ac:dyDescent="0.3">
      <c r="A77" s="5">
        <f t="shared" si="14"/>
        <v>45366</v>
      </c>
      <c r="B77" s="4">
        <f>(SUMIF('Test Account 1'!$K:$K,Calculations!$A77,'Test Account 1'!$L:$L)*-1)</f>
        <v>0</v>
      </c>
      <c r="C77" s="4">
        <f>(SUMIF('Test Account 2'!$K:$K,Calculations!$A77,'Test Account 2'!$L:$L)*-1)</f>
        <v>0</v>
      </c>
      <c r="D77" s="4">
        <f>SUMIF('Test Account 3'!$J:$J,Calculations!$A77,'Test Account 3'!$K:$K)</f>
        <v>100</v>
      </c>
      <c r="E77" s="3">
        <f t="shared" si="15"/>
        <v>3</v>
      </c>
    </row>
    <row r="78" spans="1:5" x14ac:dyDescent="0.3">
      <c r="A78" s="5">
        <f t="shared" si="14"/>
        <v>45367</v>
      </c>
      <c r="B78" s="4">
        <f>(SUMIF('Test Account 1'!$K:$K,Calculations!$A78,'Test Account 1'!$L:$L)*-1)</f>
        <v>-100</v>
      </c>
      <c r="C78" s="4">
        <f>(SUMIF('Test Account 2'!$K:$K,Calculations!$A78,'Test Account 2'!$L:$L)*-1)</f>
        <v>-100</v>
      </c>
      <c r="D78" s="4">
        <f>SUMIF('Test Account 3'!$J:$J,Calculations!$A78,'Test Account 3'!$K:$K)</f>
        <v>-100</v>
      </c>
      <c r="E78" s="3">
        <f t="shared" si="15"/>
        <v>3</v>
      </c>
    </row>
    <row r="79" spans="1:5" x14ac:dyDescent="0.3">
      <c r="A79" s="5">
        <f t="shared" si="14"/>
        <v>45368</v>
      </c>
      <c r="B79" s="4">
        <f>(SUMIF('Test Account 1'!$K:$K,Calculations!$A79,'Test Account 1'!$L:$L)*-1)</f>
        <v>-100</v>
      </c>
      <c r="C79" s="4">
        <f>(SUMIF('Test Account 2'!$K:$K,Calculations!$A79,'Test Account 2'!$L:$L)*-1)</f>
        <v>-100</v>
      </c>
      <c r="D79" s="4">
        <f>SUMIF('Test Account 3'!$J:$J,Calculations!$A79,'Test Account 3'!$K:$K)</f>
        <v>0</v>
      </c>
      <c r="E79" s="3">
        <f t="shared" si="15"/>
        <v>3</v>
      </c>
    </row>
    <row r="80" spans="1:5" x14ac:dyDescent="0.3">
      <c r="A80" s="5">
        <f t="shared" si="14"/>
        <v>45369</v>
      </c>
      <c r="B80" s="4">
        <f>(SUMIF('Test Account 1'!$K:$K,Calculations!$A80,'Test Account 1'!$L:$L)*-1)</f>
        <v>-100</v>
      </c>
      <c r="C80" s="4">
        <f>(SUMIF('Test Account 2'!$K:$K,Calculations!$A80,'Test Account 2'!$L:$L)*-1)</f>
        <v>-100</v>
      </c>
      <c r="D80" s="4">
        <f>SUMIF('Test Account 3'!$J:$J,Calculations!$A80,'Test Account 3'!$K:$K)</f>
        <v>-100</v>
      </c>
      <c r="E80" s="3">
        <f t="shared" si="15"/>
        <v>3</v>
      </c>
    </row>
    <row r="81" spans="1:5" x14ac:dyDescent="0.3">
      <c r="A81" s="5">
        <f t="shared" si="14"/>
        <v>45370</v>
      </c>
      <c r="B81" s="4">
        <f>(SUMIF('Test Account 1'!$K:$K,Calculations!$A81,'Test Account 1'!$L:$L)*-1)</f>
        <v>-100</v>
      </c>
      <c r="C81" s="4">
        <f>(SUMIF('Test Account 2'!$K:$K,Calculations!$A81,'Test Account 2'!$L:$L)*-1)</f>
        <v>-100</v>
      </c>
      <c r="D81" s="4">
        <f>SUMIF('Test Account 3'!$J:$J,Calculations!$A81,'Test Account 3'!$K:$K)</f>
        <v>100</v>
      </c>
      <c r="E81" s="3">
        <f t="shared" si="15"/>
        <v>3</v>
      </c>
    </row>
    <row r="82" spans="1:5" x14ac:dyDescent="0.3">
      <c r="A82" s="5">
        <f t="shared" si="14"/>
        <v>45371</v>
      </c>
      <c r="B82" s="4">
        <f>(SUMIF('Test Account 1'!$K:$K,Calculations!$A82,'Test Account 1'!$L:$L)*-1)</f>
        <v>-100</v>
      </c>
      <c r="C82" s="4">
        <f>(SUMIF('Test Account 2'!$K:$K,Calculations!$A82,'Test Account 2'!$L:$L)*-1)</f>
        <v>-100</v>
      </c>
      <c r="D82" s="4">
        <f>SUMIF('Test Account 3'!$J:$J,Calculations!$A82,'Test Account 3'!$K:$K)</f>
        <v>-100</v>
      </c>
      <c r="E82" s="3">
        <f t="shared" si="15"/>
        <v>3</v>
      </c>
    </row>
    <row r="83" spans="1:5" x14ac:dyDescent="0.3">
      <c r="A83" s="5">
        <f t="shared" si="14"/>
        <v>45372</v>
      </c>
      <c r="B83" s="4">
        <f>(SUMIF('Test Account 1'!$K:$K,Calculations!$A83,'Test Account 1'!$L:$L)*-1)</f>
        <v>-100</v>
      </c>
      <c r="C83" s="4">
        <f>(SUMIF('Test Account 2'!$K:$K,Calculations!$A83,'Test Account 2'!$L:$L)*-1)</f>
        <v>-100</v>
      </c>
      <c r="D83" s="4">
        <f>SUMIF('Test Account 3'!$J:$J,Calculations!$A83,'Test Account 3'!$K:$K)</f>
        <v>100</v>
      </c>
      <c r="E83" s="3">
        <f t="shared" si="15"/>
        <v>3</v>
      </c>
    </row>
    <row r="84" spans="1:5" x14ac:dyDescent="0.3">
      <c r="A84" s="5">
        <f t="shared" si="14"/>
        <v>45373</v>
      </c>
      <c r="B84" s="4">
        <f>(SUMIF('Test Account 1'!$K:$K,Calculations!$A84,'Test Account 1'!$L:$L)*-1)</f>
        <v>-100</v>
      </c>
      <c r="C84" s="4">
        <f>(SUMIF('Test Account 2'!$K:$K,Calculations!$A84,'Test Account 2'!$L:$L)*-1)</f>
        <v>-100</v>
      </c>
      <c r="D84" s="4">
        <f>SUMIF('Test Account 3'!$J:$J,Calculations!$A84,'Test Account 3'!$K:$K)</f>
        <v>-100</v>
      </c>
      <c r="E84" s="3">
        <f t="shared" si="15"/>
        <v>3</v>
      </c>
    </row>
    <row r="85" spans="1:5" x14ac:dyDescent="0.3">
      <c r="A85" s="5">
        <f t="shared" si="14"/>
        <v>45374</v>
      </c>
      <c r="B85" s="4">
        <f>(SUMIF('Test Account 1'!$K:$K,Calculations!$A85,'Test Account 1'!$L:$L)*-1)</f>
        <v>-100</v>
      </c>
      <c r="C85" s="4">
        <f>(SUMIF('Test Account 2'!$K:$K,Calculations!$A85,'Test Account 2'!$L:$L)*-1)</f>
        <v>-100</v>
      </c>
      <c r="D85" s="4">
        <f>SUMIF('Test Account 3'!$J:$J,Calculations!$A85,'Test Account 3'!$K:$K)</f>
        <v>100</v>
      </c>
      <c r="E85" s="3">
        <f t="shared" si="15"/>
        <v>3</v>
      </c>
    </row>
    <row r="86" spans="1:5" x14ac:dyDescent="0.3">
      <c r="A86" s="5">
        <f t="shared" ref="A86:A149" si="16">A85+1</f>
        <v>45375</v>
      </c>
      <c r="B86" s="4">
        <f>(SUMIF('Test Account 1'!$K:$K,Calculations!$A86,'Test Account 1'!$L:$L)*-1)</f>
        <v>-100</v>
      </c>
      <c r="C86" s="4">
        <f>(SUMIF('Test Account 2'!$K:$K,Calculations!$A86,'Test Account 2'!$L:$L)*-1)</f>
        <v>-100</v>
      </c>
      <c r="D86" s="4">
        <f>SUMIF('Test Account 3'!$J:$J,Calculations!$A86,'Test Account 3'!$K:$K)</f>
        <v>-100</v>
      </c>
      <c r="E86" s="3">
        <f t="shared" ref="E86:E149" si="17">MONTH(A86)</f>
        <v>3</v>
      </c>
    </row>
    <row r="87" spans="1:5" x14ac:dyDescent="0.3">
      <c r="A87" s="5">
        <f t="shared" si="16"/>
        <v>45376</v>
      </c>
      <c r="B87" s="4">
        <f>(SUMIF('Test Account 1'!$K:$K,Calculations!$A87,'Test Account 1'!$L:$L)*-1)</f>
        <v>-100</v>
      </c>
      <c r="C87" s="4">
        <f>(SUMIF('Test Account 2'!$K:$K,Calculations!$A87,'Test Account 2'!$L:$L)*-1)</f>
        <v>-100</v>
      </c>
      <c r="D87" s="4">
        <f>SUMIF('Test Account 3'!$J:$J,Calculations!$A87,'Test Account 3'!$K:$K)</f>
        <v>100</v>
      </c>
      <c r="E87" s="3">
        <f t="shared" si="17"/>
        <v>3</v>
      </c>
    </row>
    <row r="88" spans="1:5" x14ac:dyDescent="0.3">
      <c r="A88" s="5">
        <f t="shared" si="16"/>
        <v>45377</v>
      </c>
      <c r="B88" s="4">
        <f>(SUMIF('Test Account 1'!$K:$K,Calculations!$A88,'Test Account 1'!$L:$L)*-1)</f>
        <v>-100</v>
      </c>
      <c r="C88" s="4">
        <f>(SUMIF('Test Account 2'!$K:$K,Calculations!$A88,'Test Account 2'!$L:$L)*-1)</f>
        <v>-100</v>
      </c>
      <c r="D88" s="4">
        <f>SUMIF('Test Account 3'!$J:$J,Calculations!$A88,'Test Account 3'!$K:$K)</f>
        <v>-100</v>
      </c>
      <c r="E88" s="3">
        <f t="shared" si="17"/>
        <v>3</v>
      </c>
    </row>
    <row r="89" spans="1:5" x14ac:dyDescent="0.3">
      <c r="A89" s="5">
        <f t="shared" si="16"/>
        <v>45378</v>
      </c>
      <c r="B89" s="4">
        <f>(SUMIF('Test Account 1'!$K:$K,Calculations!$A89,'Test Account 1'!$L:$L)*-1)</f>
        <v>-100</v>
      </c>
      <c r="C89" s="4">
        <f>(SUMIF('Test Account 2'!$K:$K,Calculations!$A89,'Test Account 2'!$L:$L)*-1)</f>
        <v>-100</v>
      </c>
      <c r="D89" s="4">
        <f>SUMIF('Test Account 3'!$J:$J,Calculations!$A89,'Test Account 3'!$K:$K)</f>
        <v>100</v>
      </c>
      <c r="E89" s="3">
        <f t="shared" si="17"/>
        <v>3</v>
      </c>
    </row>
    <row r="90" spans="1:5" x14ac:dyDescent="0.3">
      <c r="A90" s="5">
        <f t="shared" si="16"/>
        <v>45379</v>
      </c>
      <c r="B90" s="4">
        <f>(SUMIF('Test Account 1'!$K:$K,Calculations!$A90,'Test Account 1'!$L:$L)*-1)</f>
        <v>-100</v>
      </c>
      <c r="C90" s="4">
        <f>(SUMIF('Test Account 2'!$K:$K,Calculations!$A90,'Test Account 2'!$L:$L)*-1)</f>
        <v>-100</v>
      </c>
      <c r="D90" s="4">
        <f>SUMIF('Test Account 3'!$J:$J,Calculations!$A90,'Test Account 3'!$K:$K)</f>
        <v>-100</v>
      </c>
      <c r="E90" s="3">
        <f t="shared" si="17"/>
        <v>3</v>
      </c>
    </row>
    <row r="91" spans="1:5" x14ac:dyDescent="0.3">
      <c r="A91" s="5">
        <f t="shared" si="16"/>
        <v>45380</v>
      </c>
      <c r="B91" s="4">
        <f>(SUMIF('Test Account 1'!$K:$K,Calculations!$A91,'Test Account 1'!$L:$L)*-1)</f>
        <v>-100</v>
      </c>
      <c r="C91" s="4">
        <f>(SUMIF('Test Account 2'!$K:$K,Calculations!$A91,'Test Account 2'!$L:$L)*-1)</f>
        <v>-100</v>
      </c>
      <c r="D91" s="4">
        <f>SUMIF('Test Account 3'!$J:$J,Calculations!$A91,'Test Account 3'!$K:$K)</f>
        <v>100</v>
      </c>
      <c r="E91" s="3">
        <f t="shared" si="17"/>
        <v>3</v>
      </c>
    </row>
    <row r="92" spans="1:5" x14ac:dyDescent="0.3">
      <c r="A92" s="5">
        <f t="shared" si="16"/>
        <v>45381</v>
      </c>
      <c r="B92" s="4">
        <f>(SUMIF('Test Account 1'!$K:$K,Calculations!$A92,'Test Account 1'!$L:$L)*-1)</f>
        <v>-111</v>
      </c>
      <c r="C92" s="4">
        <f>(SUMIF('Test Account 2'!$K:$K,Calculations!$A92,'Test Account 2'!$L:$L)*-1)</f>
        <v>-111</v>
      </c>
      <c r="D92" s="4">
        <f>SUMIF('Test Account 3'!$J:$J,Calculations!$A92,'Test Account 3'!$K:$K)</f>
        <v>-100</v>
      </c>
      <c r="E92" s="3">
        <f t="shared" si="17"/>
        <v>3</v>
      </c>
    </row>
    <row r="93" spans="1:5" x14ac:dyDescent="0.3">
      <c r="A93" s="5">
        <f t="shared" si="16"/>
        <v>45382</v>
      </c>
      <c r="B93" s="4">
        <f>(SUMIF('Test Account 1'!$K:$K,Calculations!$A93,'Test Account 1'!$L:$L)*-1)</f>
        <v>-222</v>
      </c>
      <c r="C93" s="4">
        <f>(SUMIF('Test Account 2'!$K:$K,Calculations!$A93,'Test Account 2'!$L:$L)*-1)</f>
        <v>-222</v>
      </c>
      <c r="D93" s="4">
        <f>SUMIF('Test Account 3'!$J:$J,Calculations!$A93,'Test Account 3'!$K:$K)</f>
        <v>100</v>
      </c>
      <c r="E93" s="3">
        <f t="shared" si="17"/>
        <v>3</v>
      </c>
    </row>
    <row r="94" spans="1:5" x14ac:dyDescent="0.3">
      <c r="A94" s="5">
        <f t="shared" si="16"/>
        <v>45383</v>
      </c>
      <c r="B94" s="4">
        <f>(SUMIF('Test Account 1'!$K:$K,Calculations!$A94,'Test Account 1'!$L:$L)*-1)</f>
        <v>-333</v>
      </c>
      <c r="C94" s="4">
        <f>(SUMIF('Test Account 2'!$K:$K,Calculations!$A94,'Test Account 2'!$L:$L)*-1)</f>
        <v>-333</v>
      </c>
      <c r="D94" s="4">
        <f>SUMIF('Test Account 3'!$J:$J,Calculations!$A94,'Test Account 3'!$K:$K)</f>
        <v>111</v>
      </c>
      <c r="E94" s="3">
        <f t="shared" si="17"/>
        <v>4</v>
      </c>
    </row>
    <row r="95" spans="1:5" x14ac:dyDescent="0.3">
      <c r="A95" s="5">
        <f t="shared" si="16"/>
        <v>45384</v>
      </c>
      <c r="B95" s="4">
        <f>(SUMIF('Test Account 1'!$K:$K,Calculations!$A95,'Test Account 1'!$L:$L)*-1)</f>
        <v>-444</v>
      </c>
      <c r="C95" s="4">
        <f>(SUMIF('Test Account 2'!$K:$K,Calculations!$A95,'Test Account 2'!$L:$L)*-1)</f>
        <v>-444</v>
      </c>
      <c r="D95" s="4">
        <f>SUMIF('Test Account 3'!$J:$J,Calculations!$A95,'Test Account 3'!$K:$K)</f>
        <v>-222</v>
      </c>
      <c r="E95" s="3">
        <f t="shared" si="17"/>
        <v>4</v>
      </c>
    </row>
    <row r="96" spans="1:5" x14ac:dyDescent="0.3">
      <c r="A96" s="5">
        <f t="shared" si="16"/>
        <v>45385</v>
      </c>
      <c r="B96" s="4">
        <f>(SUMIF('Test Account 1'!$K:$K,Calculations!$A96,'Test Account 1'!$L:$L)*-1)</f>
        <v>-555</v>
      </c>
      <c r="C96" s="4">
        <f>(SUMIF('Test Account 2'!$K:$K,Calculations!$A96,'Test Account 2'!$L:$L)*-1)</f>
        <v>-555</v>
      </c>
      <c r="D96" s="4">
        <f>SUMIF('Test Account 3'!$J:$J,Calculations!$A96,'Test Account 3'!$K:$K)</f>
        <v>333</v>
      </c>
      <c r="E96" s="3">
        <f t="shared" si="17"/>
        <v>4</v>
      </c>
    </row>
    <row r="97" spans="1:5" x14ac:dyDescent="0.3">
      <c r="A97" s="5">
        <f t="shared" si="16"/>
        <v>45386</v>
      </c>
      <c r="B97" s="4">
        <f>(SUMIF('Test Account 1'!$K:$K,Calculations!$A97,'Test Account 1'!$L:$L)*-1)</f>
        <v>-100</v>
      </c>
      <c r="C97" s="4">
        <f>(SUMIF('Test Account 2'!$K:$K,Calculations!$A97,'Test Account 2'!$L:$L)*-1)</f>
        <v>-100</v>
      </c>
      <c r="D97" s="4">
        <f>SUMIF('Test Account 3'!$J:$J,Calculations!$A97,'Test Account 3'!$K:$K)</f>
        <v>-444</v>
      </c>
      <c r="E97" s="3">
        <f t="shared" si="17"/>
        <v>4</v>
      </c>
    </row>
    <row r="98" spans="1:5" x14ac:dyDescent="0.3">
      <c r="A98" s="5">
        <f t="shared" si="16"/>
        <v>45387</v>
      </c>
      <c r="B98" s="4">
        <f>(SUMIF('Test Account 1'!$K:$K,Calculations!$A98,'Test Account 1'!$L:$L)*-1)</f>
        <v>-100</v>
      </c>
      <c r="C98" s="4">
        <f>(SUMIF('Test Account 2'!$K:$K,Calculations!$A98,'Test Account 2'!$L:$L)*-1)</f>
        <v>-100</v>
      </c>
      <c r="D98" s="4">
        <f>SUMIF('Test Account 3'!$J:$J,Calculations!$A98,'Test Account 3'!$K:$K)</f>
        <v>555</v>
      </c>
      <c r="E98" s="3">
        <f t="shared" si="17"/>
        <v>4</v>
      </c>
    </row>
    <row r="99" spans="1:5" x14ac:dyDescent="0.3">
      <c r="A99" s="5">
        <f t="shared" si="16"/>
        <v>45388</v>
      </c>
      <c r="B99" s="4">
        <f>(SUMIF('Test Account 1'!$K:$K,Calculations!$A99,'Test Account 1'!$L:$L)*-1)</f>
        <v>-100</v>
      </c>
      <c r="C99" s="4">
        <f>(SUMIF('Test Account 2'!$K:$K,Calculations!$A99,'Test Account 2'!$L:$L)*-1)</f>
        <v>-100</v>
      </c>
      <c r="D99" s="4">
        <f>SUMIF('Test Account 3'!$J:$J,Calculations!$A99,'Test Account 3'!$K:$K)</f>
        <v>-100</v>
      </c>
      <c r="E99" s="3">
        <f t="shared" si="17"/>
        <v>4</v>
      </c>
    </row>
    <row r="100" spans="1:5" x14ac:dyDescent="0.3">
      <c r="A100" s="5">
        <f t="shared" si="16"/>
        <v>45389</v>
      </c>
      <c r="B100" s="4">
        <f>(SUMIF('Test Account 1'!$K:$K,Calculations!$A100,'Test Account 1'!$L:$L)*-1)</f>
        <v>-100</v>
      </c>
      <c r="C100" s="4">
        <f>(SUMIF('Test Account 2'!$K:$K,Calculations!$A100,'Test Account 2'!$L:$L)*-1)</f>
        <v>-100</v>
      </c>
      <c r="D100" s="4">
        <f>SUMIF('Test Account 3'!$J:$J,Calculations!$A100,'Test Account 3'!$K:$K)</f>
        <v>100</v>
      </c>
      <c r="E100" s="3">
        <f t="shared" si="17"/>
        <v>4</v>
      </c>
    </row>
    <row r="101" spans="1:5" x14ac:dyDescent="0.3">
      <c r="A101" s="5">
        <f t="shared" si="16"/>
        <v>45390</v>
      </c>
      <c r="B101" s="4">
        <f>(SUMIF('Test Account 1'!$K:$K,Calculations!$A101,'Test Account 1'!$L:$L)*-1)</f>
        <v>-100</v>
      </c>
      <c r="C101" s="4">
        <f>(SUMIF('Test Account 2'!$K:$K,Calculations!$A101,'Test Account 2'!$L:$L)*-1)</f>
        <v>-100</v>
      </c>
      <c r="D101" s="4">
        <f>SUMIF('Test Account 3'!$J:$J,Calculations!$A101,'Test Account 3'!$K:$K)</f>
        <v>-100</v>
      </c>
      <c r="E101" s="3">
        <f t="shared" si="17"/>
        <v>4</v>
      </c>
    </row>
    <row r="102" spans="1:5" x14ac:dyDescent="0.3">
      <c r="A102" s="5">
        <f t="shared" si="16"/>
        <v>45391</v>
      </c>
      <c r="B102" s="4">
        <f>(SUMIF('Test Account 1'!$K:$K,Calculations!$A102,'Test Account 1'!$L:$L)*-1)</f>
        <v>-100</v>
      </c>
      <c r="C102" s="4">
        <f>(SUMIF('Test Account 2'!$K:$K,Calculations!$A102,'Test Account 2'!$L:$L)*-1)</f>
        <v>-100</v>
      </c>
      <c r="D102" s="4">
        <f>SUMIF('Test Account 3'!$J:$J,Calculations!$A102,'Test Account 3'!$K:$K)</f>
        <v>100</v>
      </c>
      <c r="E102" s="3">
        <f t="shared" si="17"/>
        <v>4</v>
      </c>
    </row>
    <row r="103" spans="1:5" x14ac:dyDescent="0.3">
      <c r="A103" s="5">
        <f t="shared" si="16"/>
        <v>45392</v>
      </c>
      <c r="B103" s="4">
        <f>(SUMIF('Test Account 1'!$K:$K,Calculations!$A103,'Test Account 1'!$L:$L)*-1)</f>
        <v>-100</v>
      </c>
      <c r="C103" s="4">
        <f>(SUMIF('Test Account 2'!$K:$K,Calculations!$A103,'Test Account 2'!$L:$L)*-1)</f>
        <v>-100</v>
      </c>
      <c r="D103" s="4">
        <f>SUMIF('Test Account 3'!$J:$J,Calculations!$A103,'Test Account 3'!$K:$K)</f>
        <v>-100</v>
      </c>
      <c r="E103" s="3">
        <f t="shared" si="17"/>
        <v>4</v>
      </c>
    </row>
    <row r="104" spans="1:5" x14ac:dyDescent="0.3">
      <c r="A104" s="5">
        <f t="shared" si="16"/>
        <v>45393</v>
      </c>
      <c r="B104" s="4">
        <f>(SUMIF('Test Account 1'!$K:$K,Calculations!$A104,'Test Account 1'!$L:$L)*-1)</f>
        <v>100</v>
      </c>
      <c r="C104" s="4">
        <f>(SUMIF('Test Account 2'!$K:$K,Calculations!$A104,'Test Account 2'!$L:$L)*-1)</f>
        <v>100</v>
      </c>
      <c r="D104" s="4">
        <f>SUMIF('Test Account 3'!$J:$J,Calculations!$A104,'Test Account 3'!$K:$K)</f>
        <v>100</v>
      </c>
      <c r="E104" s="3">
        <f t="shared" si="17"/>
        <v>4</v>
      </c>
    </row>
    <row r="105" spans="1:5" x14ac:dyDescent="0.3">
      <c r="A105" s="5">
        <f t="shared" si="16"/>
        <v>45394</v>
      </c>
      <c r="B105" s="4">
        <f>(SUMIF('Test Account 1'!$K:$K,Calculations!$A105,'Test Account 1'!$L:$L)*-1)</f>
        <v>-100</v>
      </c>
      <c r="C105" s="4">
        <f>(SUMIF('Test Account 2'!$K:$K,Calculations!$A105,'Test Account 2'!$L:$L)*-1)</f>
        <v>-100</v>
      </c>
      <c r="D105" s="4">
        <f>SUMIF('Test Account 3'!$J:$J,Calculations!$A105,'Test Account 3'!$K:$K)</f>
        <v>-100</v>
      </c>
      <c r="E105" s="3">
        <f t="shared" si="17"/>
        <v>4</v>
      </c>
    </row>
    <row r="106" spans="1:5" x14ac:dyDescent="0.3">
      <c r="A106" s="5">
        <f t="shared" si="16"/>
        <v>45395</v>
      </c>
      <c r="B106" s="4">
        <f>(SUMIF('Test Account 1'!$K:$K,Calculations!$A106,'Test Account 1'!$L:$L)*-1)</f>
        <v>-100</v>
      </c>
      <c r="C106" s="4">
        <f>(SUMIF('Test Account 2'!$K:$K,Calculations!$A106,'Test Account 2'!$L:$L)*-1)</f>
        <v>-100</v>
      </c>
      <c r="D106" s="4">
        <f>SUMIF('Test Account 3'!$J:$J,Calculations!$A106,'Test Account 3'!$K:$K)</f>
        <v>1674</v>
      </c>
      <c r="E106" s="3">
        <f t="shared" si="17"/>
        <v>4</v>
      </c>
    </row>
    <row r="107" spans="1:5" x14ac:dyDescent="0.3">
      <c r="A107" s="5">
        <f t="shared" si="16"/>
        <v>45396</v>
      </c>
      <c r="B107" s="4">
        <f>(SUMIF('Test Account 1'!$K:$K,Calculations!$A107,'Test Account 1'!$L:$L)*-1)</f>
        <v>-100</v>
      </c>
      <c r="C107" s="4">
        <f>(SUMIF('Test Account 2'!$K:$K,Calculations!$A107,'Test Account 2'!$L:$L)*-1)</f>
        <v>-100</v>
      </c>
      <c r="D107" s="4">
        <f>SUMIF('Test Account 3'!$J:$J,Calculations!$A107,'Test Account 3'!$K:$K)</f>
        <v>-100</v>
      </c>
      <c r="E107" s="3">
        <f t="shared" si="17"/>
        <v>4</v>
      </c>
    </row>
    <row r="108" spans="1:5" x14ac:dyDescent="0.3">
      <c r="A108" s="5">
        <f t="shared" si="16"/>
        <v>45397</v>
      </c>
      <c r="B108" s="4">
        <f>(SUMIF('Test Account 1'!$K:$K,Calculations!$A108,'Test Account 1'!$L:$L)*-1)</f>
        <v>0</v>
      </c>
      <c r="C108" s="4">
        <f>(SUMIF('Test Account 2'!$K:$K,Calculations!$A108,'Test Account 2'!$L:$L)*-1)</f>
        <v>0</v>
      </c>
      <c r="D108" s="4">
        <f>SUMIF('Test Account 3'!$J:$J,Calculations!$A108,'Test Account 3'!$K:$K)</f>
        <v>100</v>
      </c>
      <c r="E108" s="3">
        <f t="shared" si="17"/>
        <v>4</v>
      </c>
    </row>
    <row r="109" spans="1:5" x14ac:dyDescent="0.3">
      <c r="A109" s="5">
        <f t="shared" si="16"/>
        <v>45398</v>
      </c>
      <c r="B109" s="4">
        <f>(SUMIF('Test Account 1'!$K:$K,Calculations!$A109,'Test Account 1'!$L:$L)*-1)</f>
        <v>-100</v>
      </c>
      <c r="C109" s="4">
        <f>(SUMIF('Test Account 2'!$K:$K,Calculations!$A109,'Test Account 2'!$L:$L)*-1)</f>
        <v>-100</v>
      </c>
      <c r="D109" s="4">
        <f>SUMIF('Test Account 3'!$J:$J,Calculations!$A109,'Test Account 3'!$K:$K)</f>
        <v>-100</v>
      </c>
      <c r="E109" s="3">
        <f t="shared" si="17"/>
        <v>4</v>
      </c>
    </row>
    <row r="110" spans="1:5" x14ac:dyDescent="0.3">
      <c r="A110" s="5">
        <f t="shared" si="16"/>
        <v>45399</v>
      </c>
      <c r="B110" s="4">
        <f>(SUMIF('Test Account 1'!$K:$K,Calculations!$A110,'Test Account 1'!$L:$L)*-1)</f>
        <v>-100</v>
      </c>
      <c r="C110" s="4">
        <f>(SUMIF('Test Account 2'!$K:$K,Calculations!$A110,'Test Account 2'!$L:$L)*-1)</f>
        <v>-100</v>
      </c>
      <c r="D110" s="4">
        <f>SUMIF('Test Account 3'!$J:$J,Calculations!$A110,'Test Account 3'!$K:$K)</f>
        <v>0</v>
      </c>
      <c r="E110" s="3">
        <f t="shared" si="17"/>
        <v>4</v>
      </c>
    </row>
    <row r="111" spans="1:5" x14ac:dyDescent="0.3">
      <c r="A111" s="5">
        <f t="shared" si="16"/>
        <v>45400</v>
      </c>
      <c r="B111" s="4">
        <f>(SUMIF('Test Account 1'!$K:$K,Calculations!$A111,'Test Account 1'!$L:$L)*-1)</f>
        <v>-100</v>
      </c>
      <c r="C111" s="4">
        <f>(SUMIF('Test Account 2'!$K:$K,Calculations!$A111,'Test Account 2'!$L:$L)*-1)</f>
        <v>-100</v>
      </c>
      <c r="D111" s="4">
        <f>SUMIF('Test Account 3'!$J:$J,Calculations!$A111,'Test Account 3'!$K:$K)</f>
        <v>-100</v>
      </c>
      <c r="E111" s="3">
        <f t="shared" si="17"/>
        <v>4</v>
      </c>
    </row>
    <row r="112" spans="1:5" x14ac:dyDescent="0.3">
      <c r="A112" s="5">
        <f t="shared" si="16"/>
        <v>45401</v>
      </c>
      <c r="B112" s="4">
        <f>(SUMIF('Test Account 1'!$K:$K,Calculations!$A112,'Test Account 1'!$L:$L)*-1)</f>
        <v>-100</v>
      </c>
      <c r="C112" s="4">
        <f>(SUMIF('Test Account 2'!$K:$K,Calculations!$A112,'Test Account 2'!$L:$L)*-1)</f>
        <v>-100</v>
      </c>
      <c r="D112" s="4">
        <f>SUMIF('Test Account 3'!$J:$J,Calculations!$A112,'Test Account 3'!$K:$K)</f>
        <v>100</v>
      </c>
      <c r="E112" s="3">
        <f t="shared" si="17"/>
        <v>4</v>
      </c>
    </row>
    <row r="113" spans="1:5" x14ac:dyDescent="0.3">
      <c r="A113" s="5">
        <f t="shared" si="16"/>
        <v>45402</v>
      </c>
      <c r="B113" s="4">
        <f>(SUMIF('Test Account 1'!$K:$K,Calculations!$A113,'Test Account 1'!$L:$L)*-1)</f>
        <v>-100</v>
      </c>
      <c r="C113" s="4">
        <f>(SUMIF('Test Account 2'!$K:$K,Calculations!$A113,'Test Account 2'!$L:$L)*-1)</f>
        <v>-100</v>
      </c>
      <c r="D113" s="4">
        <f>SUMIF('Test Account 3'!$J:$J,Calculations!$A113,'Test Account 3'!$K:$K)</f>
        <v>-100</v>
      </c>
      <c r="E113" s="3">
        <f t="shared" si="17"/>
        <v>4</v>
      </c>
    </row>
    <row r="114" spans="1:5" x14ac:dyDescent="0.3">
      <c r="A114" s="5">
        <f t="shared" si="16"/>
        <v>45403</v>
      </c>
      <c r="B114" s="4">
        <f>(SUMIF('Test Account 1'!$K:$K,Calculations!$A114,'Test Account 1'!$L:$L)*-1)</f>
        <v>-100</v>
      </c>
      <c r="C114" s="4">
        <f>(SUMIF('Test Account 2'!$K:$K,Calculations!$A114,'Test Account 2'!$L:$L)*-1)</f>
        <v>-100</v>
      </c>
      <c r="D114" s="4">
        <f>SUMIF('Test Account 3'!$J:$J,Calculations!$A114,'Test Account 3'!$K:$K)</f>
        <v>100</v>
      </c>
      <c r="E114" s="3">
        <f t="shared" si="17"/>
        <v>4</v>
      </c>
    </row>
    <row r="115" spans="1:5" x14ac:dyDescent="0.3">
      <c r="A115" s="5">
        <f t="shared" si="16"/>
        <v>45404</v>
      </c>
      <c r="B115" s="4">
        <f>(SUMIF('Test Account 1'!$K:$K,Calculations!$A115,'Test Account 1'!$L:$L)*-1)</f>
        <v>-100</v>
      </c>
      <c r="C115" s="4">
        <f>(SUMIF('Test Account 2'!$K:$K,Calculations!$A115,'Test Account 2'!$L:$L)*-1)</f>
        <v>-100</v>
      </c>
      <c r="D115" s="4">
        <f>SUMIF('Test Account 3'!$J:$J,Calculations!$A115,'Test Account 3'!$K:$K)</f>
        <v>-100</v>
      </c>
      <c r="E115" s="3">
        <f t="shared" si="17"/>
        <v>4</v>
      </c>
    </row>
    <row r="116" spans="1:5" x14ac:dyDescent="0.3">
      <c r="A116" s="5">
        <f t="shared" si="16"/>
        <v>45405</v>
      </c>
      <c r="B116" s="4">
        <f>(SUMIF('Test Account 1'!$K:$K,Calculations!$A116,'Test Account 1'!$L:$L)*-1)</f>
        <v>-100</v>
      </c>
      <c r="C116" s="4">
        <f>(SUMIF('Test Account 2'!$K:$K,Calculations!$A116,'Test Account 2'!$L:$L)*-1)</f>
        <v>-100</v>
      </c>
      <c r="D116" s="4">
        <f>SUMIF('Test Account 3'!$J:$J,Calculations!$A116,'Test Account 3'!$K:$K)</f>
        <v>100</v>
      </c>
      <c r="E116" s="3">
        <f t="shared" si="17"/>
        <v>4</v>
      </c>
    </row>
    <row r="117" spans="1:5" x14ac:dyDescent="0.3">
      <c r="A117" s="5">
        <f t="shared" si="16"/>
        <v>45406</v>
      </c>
      <c r="B117" s="4">
        <f>(SUMIF('Test Account 1'!$K:$K,Calculations!$A117,'Test Account 1'!$L:$L)*-1)</f>
        <v>-100</v>
      </c>
      <c r="C117" s="4">
        <f>(SUMIF('Test Account 2'!$K:$K,Calculations!$A117,'Test Account 2'!$L:$L)*-1)</f>
        <v>-100</v>
      </c>
      <c r="D117" s="4">
        <f>SUMIF('Test Account 3'!$J:$J,Calculations!$A117,'Test Account 3'!$K:$K)</f>
        <v>-100</v>
      </c>
      <c r="E117" s="3">
        <f t="shared" si="17"/>
        <v>4</v>
      </c>
    </row>
    <row r="118" spans="1:5" x14ac:dyDescent="0.3">
      <c r="A118" s="5">
        <f t="shared" si="16"/>
        <v>45407</v>
      </c>
      <c r="B118" s="4">
        <f>(SUMIF('Test Account 1'!$K:$K,Calculations!$A118,'Test Account 1'!$L:$L)*-1)</f>
        <v>-100</v>
      </c>
      <c r="C118" s="4">
        <f>(SUMIF('Test Account 2'!$K:$K,Calculations!$A118,'Test Account 2'!$L:$L)*-1)</f>
        <v>-100</v>
      </c>
      <c r="D118" s="4">
        <f>SUMIF('Test Account 3'!$J:$J,Calculations!$A118,'Test Account 3'!$K:$K)</f>
        <v>100</v>
      </c>
      <c r="E118" s="3">
        <f t="shared" si="17"/>
        <v>4</v>
      </c>
    </row>
    <row r="119" spans="1:5" x14ac:dyDescent="0.3">
      <c r="A119" s="5">
        <f t="shared" si="16"/>
        <v>45408</v>
      </c>
      <c r="B119" s="4">
        <f>(SUMIF('Test Account 1'!$K:$K,Calculations!$A119,'Test Account 1'!$L:$L)*-1)</f>
        <v>-100</v>
      </c>
      <c r="C119" s="4">
        <f>(SUMIF('Test Account 2'!$K:$K,Calculations!$A119,'Test Account 2'!$L:$L)*-1)</f>
        <v>-100</v>
      </c>
      <c r="D119" s="4">
        <f>SUMIF('Test Account 3'!$J:$J,Calculations!$A119,'Test Account 3'!$K:$K)</f>
        <v>-100</v>
      </c>
      <c r="E119" s="3">
        <f t="shared" si="17"/>
        <v>4</v>
      </c>
    </row>
    <row r="120" spans="1:5" x14ac:dyDescent="0.3">
      <c r="A120" s="5">
        <f t="shared" si="16"/>
        <v>45409</v>
      </c>
      <c r="B120" s="4">
        <f>(SUMIF('Test Account 1'!$K:$K,Calculations!$A120,'Test Account 1'!$L:$L)*-1)</f>
        <v>-100</v>
      </c>
      <c r="C120" s="4">
        <f>(SUMIF('Test Account 2'!$K:$K,Calculations!$A120,'Test Account 2'!$L:$L)*-1)</f>
        <v>-100</v>
      </c>
      <c r="D120" s="4">
        <f>SUMIF('Test Account 3'!$J:$J,Calculations!$A120,'Test Account 3'!$K:$K)</f>
        <v>100</v>
      </c>
      <c r="E120" s="3">
        <f t="shared" si="17"/>
        <v>4</v>
      </c>
    </row>
    <row r="121" spans="1:5" x14ac:dyDescent="0.3">
      <c r="A121" s="5">
        <f t="shared" si="16"/>
        <v>45410</v>
      </c>
      <c r="B121" s="4">
        <f>(SUMIF('Test Account 1'!$K:$K,Calculations!$A121,'Test Account 1'!$L:$L)*-1)</f>
        <v>-100</v>
      </c>
      <c r="C121" s="4">
        <f>(SUMIF('Test Account 2'!$K:$K,Calculations!$A121,'Test Account 2'!$L:$L)*-1)</f>
        <v>-100</v>
      </c>
      <c r="D121" s="4">
        <f>SUMIF('Test Account 3'!$J:$J,Calculations!$A121,'Test Account 3'!$K:$K)</f>
        <v>-100</v>
      </c>
      <c r="E121" s="3">
        <f t="shared" si="17"/>
        <v>4</v>
      </c>
    </row>
    <row r="122" spans="1:5" x14ac:dyDescent="0.3">
      <c r="A122" s="5">
        <f t="shared" si="16"/>
        <v>45411</v>
      </c>
      <c r="B122" s="4">
        <f>(SUMIF('Test Account 1'!$K:$K,Calculations!$A122,'Test Account 1'!$L:$L)*-1)</f>
        <v>-100</v>
      </c>
      <c r="C122" s="4">
        <f>(SUMIF('Test Account 2'!$K:$K,Calculations!$A122,'Test Account 2'!$L:$L)*-1)</f>
        <v>-100</v>
      </c>
      <c r="D122" s="4">
        <f>SUMIF('Test Account 3'!$J:$J,Calculations!$A122,'Test Account 3'!$K:$K)</f>
        <v>100</v>
      </c>
      <c r="E122" s="3">
        <f t="shared" si="17"/>
        <v>4</v>
      </c>
    </row>
    <row r="123" spans="1:5" x14ac:dyDescent="0.3">
      <c r="A123" s="5">
        <f t="shared" si="16"/>
        <v>45412</v>
      </c>
      <c r="B123" s="4">
        <f>(SUMIF('Test Account 1'!$K:$K,Calculations!$A123,'Test Account 1'!$L:$L)*-1)</f>
        <v>0</v>
      </c>
      <c r="C123" s="4">
        <f>(SUMIF('Test Account 2'!$K:$K,Calculations!$A123,'Test Account 2'!$L:$L)*-1)</f>
        <v>0</v>
      </c>
      <c r="D123" s="4">
        <f>SUMIF('Test Account 3'!$J:$J,Calculations!$A123,'Test Account 3'!$K:$K)</f>
        <v>0</v>
      </c>
      <c r="E123" s="3">
        <f t="shared" si="17"/>
        <v>4</v>
      </c>
    </row>
    <row r="124" spans="1:5" x14ac:dyDescent="0.3">
      <c r="A124" s="5">
        <f t="shared" si="16"/>
        <v>45413</v>
      </c>
      <c r="B124" s="4">
        <f>(SUMIF('Test Account 1'!$K:$K,Calculations!$A124,'Test Account 1'!$L:$L)*-1)</f>
        <v>0</v>
      </c>
      <c r="C124" s="4">
        <f>(SUMIF('Test Account 2'!$K:$K,Calculations!$A124,'Test Account 2'!$L:$L)*-1)</f>
        <v>0</v>
      </c>
      <c r="D124" s="4">
        <f>SUMIF('Test Account 3'!$J:$J,Calculations!$A124,'Test Account 3'!$K:$K)</f>
        <v>0</v>
      </c>
      <c r="E124" s="3">
        <f t="shared" si="17"/>
        <v>5</v>
      </c>
    </row>
    <row r="125" spans="1:5" x14ac:dyDescent="0.3">
      <c r="A125" s="5">
        <f t="shared" si="16"/>
        <v>45414</v>
      </c>
      <c r="B125" s="4">
        <f>(SUMIF('Test Account 1'!$K:$K,Calculations!$A125,'Test Account 1'!$L:$L)*-1)</f>
        <v>0</v>
      </c>
      <c r="C125" s="4">
        <f>(SUMIF('Test Account 2'!$K:$K,Calculations!$A125,'Test Account 2'!$L:$L)*-1)</f>
        <v>0</v>
      </c>
      <c r="D125" s="4">
        <f>SUMIF('Test Account 3'!$J:$J,Calculations!$A125,'Test Account 3'!$K:$K)</f>
        <v>0</v>
      </c>
      <c r="E125" s="3">
        <f t="shared" si="17"/>
        <v>5</v>
      </c>
    </row>
    <row r="126" spans="1:5" x14ac:dyDescent="0.3">
      <c r="A126" s="5">
        <f t="shared" si="16"/>
        <v>45415</v>
      </c>
      <c r="B126" s="4">
        <f>(SUMIF('Test Account 1'!$K:$K,Calculations!$A126,'Test Account 1'!$L:$L)*-1)</f>
        <v>0</v>
      </c>
      <c r="C126" s="4">
        <f>(SUMIF('Test Account 2'!$K:$K,Calculations!$A126,'Test Account 2'!$L:$L)*-1)</f>
        <v>0</v>
      </c>
      <c r="D126" s="4">
        <f>SUMIF('Test Account 3'!$J:$J,Calculations!$A126,'Test Account 3'!$K:$K)</f>
        <v>0</v>
      </c>
      <c r="E126" s="3">
        <f t="shared" si="17"/>
        <v>5</v>
      </c>
    </row>
    <row r="127" spans="1:5" x14ac:dyDescent="0.3">
      <c r="A127" s="5">
        <f t="shared" si="16"/>
        <v>45416</v>
      </c>
      <c r="B127" s="4">
        <f>(SUMIF('Test Account 1'!$K:$K,Calculations!$A127,'Test Account 1'!$L:$L)*-1)</f>
        <v>0</v>
      </c>
      <c r="C127" s="4">
        <f>(SUMIF('Test Account 2'!$K:$K,Calculations!$A127,'Test Account 2'!$L:$L)*-1)</f>
        <v>0</v>
      </c>
      <c r="D127" s="4">
        <f>SUMIF('Test Account 3'!$J:$J,Calculations!$A127,'Test Account 3'!$K:$K)</f>
        <v>0</v>
      </c>
      <c r="E127" s="3">
        <f t="shared" si="17"/>
        <v>5</v>
      </c>
    </row>
    <row r="128" spans="1:5" x14ac:dyDescent="0.3">
      <c r="A128" s="5">
        <f t="shared" si="16"/>
        <v>45417</v>
      </c>
      <c r="B128" s="4">
        <f>(SUMIF('Test Account 1'!$K:$K,Calculations!$A128,'Test Account 1'!$L:$L)*-1)</f>
        <v>0</v>
      </c>
      <c r="C128" s="4">
        <f>(SUMIF('Test Account 2'!$K:$K,Calculations!$A128,'Test Account 2'!$L:$L)*-1)</f>
        <v>0</v>
      </c>
      <c r="D128" s="4">
        <f>SUMIF('Test Account 3'!$J:$J,Calculations!$A128,'Test Account 3'!$K:$K)</f>
        <v>0</v>
      </c>
      <c r="E128" s="3">
        <f t="shared" si="17"/>
        <v>5</v>
      </c>
    </row>
    <row r="129" spans="1:5" x14ac:dyDescent="0.3">
      <c r="A129" s="5">
        <f t="shared" si="16"/>
        <v>45418</v>
      </c>
      <c r="B129" s="4">
        <f>(SUMIF('Test Account 1'!$K:$K,Calculations!$A129,'Test Account 1'!$L:$L)*-1)</f>
        <v>0</v>
      </c>
      <c r="C129" s="4">
        <f>(SUMIF('Test Account 2'!$K:$K,Calculations!$A129,'Test Account 2'!$L:$L)*-1)</f>
        <v>0</v>
      </c>
      <c r="D129" s="4">
        <f>SUMIF('Test Account 3'!$J:$J,Calculations!$A129,'Test Account 3'!$K:$K)</f>
        <v>0</v>
      </c>
      <c r="E129" s="3">
        <f t="shared" si="17"/>
        <v>5</v>
      </c>
    </row>
    <row r="130" spans="1:5" x14ac:dyDescent="0.3">
      <c r="A130" s="5">
        <f t="shared" si="16"/>
        <v>45419</v>
      </c>
      <c r="B130" s="4">
        <f>(SUMIF('Test Account 1'!$K:$K,Calculations!$A130,'Test Account 1'!$L:$L)*-1)</f>
        <v>0</v>
      </c>
      <c r="C130" s="4">
        <f>(SUMIF('Test Account 2'!$K:$K,Calculations!$A130,'Test Account 2'!$L:$L)*-1)</f>
        <v>0</v>
      </c>
      <c r="D130" s="4">
        <f>SUMIF('Test Account 3'!$J:$J,Calculations!$A130,'Test Account 3'!$K:$K)</f>
        <v>0</v>
      </c>
      <c r="E130" s="3">
        <f t="shared" si="17"/>
        <v>5</v>
      </c>
    </row>
    <row r="131" spans="1:5" x14ac:dyDescent="0.3">
      <c r="A131" s="5">
        <f t="shared" si="16"/>
        <v>45420</v>
      </c>
      <c r="B131" s="4">
        <f>(SUMIF('Test Account 1'!$K:$K,Calculations!$A131,'Test Account 1'!$L:$L)*-1)</f>
        <v>0</v>
      </c>
      <c r="C131" s="4">
        <f>(SUMIF('Test Account 2'!$K:$K,Calculations!$A131,'Test Account 2'!$L:$L)*-1)</f>
        <v>0</v>
      </c>
      <c r="D131" s="4">
        <f>SUMIF('Test Account 3'!$J:$J,Calculations!$A131,'Test Account 3'!$K:$K)</f>
        <v>0</v>
      </c>
      <c r="E131" s="3">
        <f t="shared" si="17"/>
        <v>5</v>
      </c>
    </row>
    <row r="132" spans="1:5" x14ac:dyDescent="0.3">
      <c r="A132" s="5">
        <f t="shared" si="16"/>
        <v>45421</v>
      </c>
      <c r="B132" s="4">
        <f>(SUMIF('Test Account 1'!$K:$K,Calculations!$A132,'Test Account 1'!$L:$L)*-1)</f>
        <v>0</v>
      </c>
      <c r="C132" s="4">
        <f>(SUMIF('Test Account 2'!$K:$K,Calculations!$A132,'Test Account 2'!$L:$L)*-1)</f>
        <v>0</v>
      </c>
      <c r="D132" s="4">
        <f>SUMIF('Test Account 3'!$J:$J,Calculations!$A132,'Test Account 3'!$K:$K)</f>
        <v>0</v>
      </c>
      <c r="E132" s="3">
        <f t="shared" si="17"/>
        <v>5</v>
      </c>
    </row>
    <row r="133" spans="1:5" x14ac:dyDescent="0.3">
      <c r="A133" s="5">
        <f t="shared" si="16"/>
        <v>45422</v>
      </c>
      <c r="B133" s="4">
        <f>(SUMIF('Test Account 1'!$K:$K,Calculations!$A133,'Test Account 1'!$L:$L)*-1)</f>
        <v>0</v>
      </c>
      <c r="C133" s="4">
        <f>(SUMIF('Test Account 2'!$K:$K,Calculations!$A133,'Test Account 2'!$L:$L)*-1)</f>
        <v>0</v>
      </c>
      <c r="D133" s="4">
        <f>SUMIF('Test Account 3'!$J:$J,Calculations!$A133,'Test Account 3'!$K:$K)</f>
        <v>0</v>
      </c>
      <c r="E133" s="3">
        <f t="shared" si="17"/>
        <v>5</v>
      </c>
    </row>
    <row r="134" spans="1:5" x14ac:dyDescent="0.3">
      <c r="A134" s="5">
        <f t="shared" si="16"/>
        <v>45423</v>
      </c>
      <c r="B134" s="4">
        <f>(SUMIF('Test Account 1'!$K:$K,Calculations!$A134,'Test Account 1'!$L:$L)*-1)</f>
        <v>0</v>
      </c>
      <c r="C134" s="4">
        <f>(SUMIF('Test Account 2'!$K:$K,Calculations!$A134,'Test Account 2'!$L:$L)*-1)</f>
        <v>0</v>
      </c>
      <c r="D134" s="4">
        <f>SUMIF('Test Account 3'!$J:$J,Calculations!$A134,'Test Account 3'!$K:$K)</f>
        <v>0</v>
      </c>
      <c r="E134" s="3">
        <f t="shared" si="17"/>
        <v>5</v>
      </c>
    </row>
    <row r="135" spans="1:5" x14ac:dyDescent="0.3">
      <c r="A135" s="5">
        <f t="shared" si="16"/>
        <v>45424</v>
      </c>
      <c r="B135" s="4">
        <f>(SUMIF('Test Account 1'!$K:$K,Calculations!$A135,'Test Account 1'!$L:$L)*-1)</f>
        <v>0</v>
      </c>
      <c r="C135" s="4">
        <f>(SUMIF('Test Account 2'!$K:$K,Calculations!$A135,'Test Account 2'!$L:$L)*-1)</f>
        <v>0</v>
      </c>
      <c r="D135" s="4">
        <f>SUMIF('Test Account 3'!$J:$J,Calculations!$A135,'Test Account 3'!$K:$K)</f>
        <v>0</v>
      </c>
      <c r="E135" s="3">
        <f t="shared" si="17"/>
        <v>5</v>
      </c>
    </row>
    <row r="136" spans="1:5" x14ac:dyDescent="0.3">
      <c r="A136" s="5">
        <f t="shared" si="16"/>
        <v>45425</v>
      </c>
      <c r="B136" s="4">
        <f>(SUMIF('Test Account 1'!$K:$K,Calculations!$A136,'Test Account 1'!$L:$L)*-1)</f>
        <v>0</v>
      </c>
      <c r="C136" s="4">
        <f>(SUMIF('Test Account 2'!$K:$K,Calculations!$A136,'Test Account 2'!$L:$L)*-1)</f>
        <v>0</v>
      </c>
      <c r="D136" s="4">
        <f>SUMIF('Test Account 3'!$J:$J,Calculations!$A136,'Test Account 3'!$K:$K)</f>
        <v>0</v>
      </c>
      <c r="E136" s="3">
        <f t="shared" si="17"/>
        <v>5</v>
      </c>
    </row>
    <row r="137" spans="1:5" x14ac:dyDescent="0.3">
      <c r="A137" s="5">
        <f t="shared" si="16"/>
        <v>45426</v>
      </c>
      <c r="B137" s="4">
        <f>(SUMIF('Test Account 1'!$K:$K,Calculations!$A137,'Test Account 1'!$L:$L)*-1)</f>
        <v>0</v>
      </c>
      <c r="C137" s="4">
        <f>(SUMIF('Test Account 2'!$K:$K,Calculations!$A137,'Test Account 2'!$L:$L)*-1)</f>
        <v>0</v>
      </c>
      <c r="D137" s="4">
        <f>SUMIF('Test Account 3'!$J:$J,Calculations!$A137,'Test Account 3'!$K:$K)</f>
        <v>0</v>
      </c>
      <c r="E137" s="3">
        <f t="shared" si="17"/>
        <v>5</v>
      </c>
    </row>
    <row r="138" spans="1:5" x14ac:dyDescent="0.3">
      <c r="A138" s="5">
        <f t="shared" si="16"/>
        <v>45427</v>
      </c>
      <c r="B138" s="4">
        <f>(SUMIF('Test Account 1'!$K:$K,Calculations!$A138,'Test Account 1'!$L:$L)*-1)</f>
        <v>0</v>
      </c>
      <c r="C138" s="4">
        <f>(SUMIF('Test Account 2'!$K:$K,Calculations!$A138,'Test Account 2'!$L:$L)*-1)</f>
        <v>0</v>
      </c>
      <c r="D138" s="4">
        <f>SUMIF('Test Account 3'!$J:$J,Calculations!$A138,'Test Account 3'!$K:$K)</f>
        <v>0</v>
      </c>
      <c r="E138" s="3">
        <f t="shared" si="17"/>
        <v>5</v>
      </c>
    </row>
    <row r="139" spans="1:5" x14ac:dyDescent="0.3">
      <c r="A139" s="5">
        <f t="shared" si="16"/>
        <v>45428</v>
      </c>
      <c r="B139" s="4">
        <f>(SUMIF('Test Account 1'!$K:$K,Calculations!$A139,'Test Account 1'!$L:$L)*-1)</f>
        <v>0</v>
      </c>
      <c r="C139" s="4">
        <f>(SUMIF('Test Account 2'!$K:$K,Calculations!$A139,'Test Account 2'!$L:$L)*-1)</f>
        <v>0</v>
      </c>
      <c r="D139" s="4">
        <f>SUMIF('Test Account 3'!$J:$J,Calculations!$A139,'Test Account 3'!$K:$K)</f>
        <v>0</v>
      </c>
      <c r="E139" s="3">
        <f t="shared" si="17"/>
        <v>5</v>
      </c>
    </row>
    <row r="140" spans="1:5" x14ac:dyDescent="0.3">
      <c r="A140" s="5">
        <f t="shared" si="16"/>
        <v>45429</v>
      </c>
      <c r="B140" s="4">
        <f>(SUMIF('Test Account 1'!$K:$K,Calculations!$A140,'Test Account 1'!$L:$L)*-1)</f>
        <v>0</v>
      </c>
      <c r="C140" s="4">
        <f>(SUMIF('Test Account 2'!$K:$K,Calculations!$A140,'Test Account 2'!$L:$L)*-1)</f>
        <v>0</v>
      </c>
      <c r="D140" s="4">
        <f>SUMIF('Test Account 3'!$J:$J,Calculations!$A140,'Test Account 3'!$K:$K)</f>
        <v>0</v>
      </c>
      <c r="E140" s="3">
        <f t="shared" si="17"/>
        <v>5</v>
      </c>
    </row>
    <row r="141" spans="1:5" x14ac:dyDescent="0.3">
      <c r="A141" s="5">
        <f t="shared" si="16"/>
        <v>45430</v>
      </c>
      <c r="B141" s="4">
        <f>(SUMIF('Test Account 1'!$K:$K,Calculations!$A141,'Test Account 1'!$L:$L)*-1)</f>
        <v>0</v>
      </c>
      <c r="C141" s="4">
        <f>(SUMIF('Test Account 2'!$K:$K,Calculations!$A141,'Test Account 2'!$L:$L)*-1)</f>
        <v>0</v>
      </c>
      <c r="D141" s="4">
        <f>SUMIF('Test Account 3'!$J:$J,Calculations!$A141,'Test Account 3'!$K:$K)</f>
        <v>0</v>
      </c>
      <c r="E141" s="3">
        <f t="shared" si="17"/>
        <v>5</v>
      </c>
    </row>
    <row r="142" spans="1:5" x14ac:dyDescent="0.3">
      <c r="A142" s="5">
        <f t="shared" si="16"/>
        <v>45431</v>
      </c>
      <c r="B142" s="4">
        <f>(SUMIF('Test Account 1'!$K:$K,Calculations!$A142,'Test Account 1'!$L:$L)*-1)</f>
        <v>0</v>
      </c>
      <c r="C142" s="4">
        <f>(SUMIF('Test Account 2'!$K:$K,Calculations!$A142,'Test Account 2'!$L:$L)*-1)</f>
        <v>0</v>
      </c>
      <c r="D142" s="4">
        <f>SUMIF('Test Account 3'!$J:$J,Calculations!$A142,'Test Account 3'!$K:$K)</f>
        <v>0</v>
      </c>
      <c r="E142" s="3">
        <f t="shared" si="17"/>
        <v>5</v>
      </c>
    </row>
    <row r="143" spans="1:5" x14ac:dyDescent="0.3">
      <c r="A143" s="5">
        <f t="shared" si="16"/>
        <v>45432</v>
      </c>
      <c r="B143" s="4">
        <f>(SUMIF('Test Account 1'!$K:$K,Calculations!$A143,'Test Account 1'!$L:$L)*-1)</f>
        <v>0</v>
      </c>
      <c r="C143" s="4">
        <f>(SUMIF('Test Account 2'!$K:$K,Calculations!$A143,'Test Account 2'!$L:$L)*-1)</f>
        <v>0</v>
      </c>
      <c r="D143" s="4">
        <f>SUMIF('Test Account 3'!$J:$J,Calculations!$A143,'Test Account 3'!$K:$K)</f>
        <v>0</v>
      </c>
      <c r="E143" s="3">
        <f t="shared" si="17"/>
        <v>5</v>
      </c>
    </row>
    <row r="144" spans="1:5" x14ac:dyDescent="0.3">
      <c r="A144" s="5">
        <f t="shared" si="16"/>
        <v>45433</v>
      </c>
      <c r="B144" s="4">
        <f>(SUMIF('Test Account 1'!$K:$K,Calculations!$A144,'Test Account 1'!$L:$L)*-1)</f>
        <v>0</v>
      </c>
      <c r="C144" s="4">
        <f>(SUMIF('Test Account 2'!$K:$K,Calculations!$A144,'Test Account 2'!$L:$L)*-1)</f>
        <v>0</v>
      </c>
      <c r="D144" s="4">
        <f>SUMIF('Test Account 3'!$J:$J,Calculations!$A144,'Test Account 3'!$K:$K)</f>
        <v>0</v>
      </c>
      <c r="E144" s="3">
        <f t="shared" si="17"/>
        <v>5</v>
      </c>
    </row>
    <row r="145" spans="1:5" x14ac:dyDescent="0.3">
      <c r="A145" s="5">
        <f t="shared" si="16"/>
        <v>45434</v>
      </c>
      <c r="B145" s="4">
        <f>(SUMIF('Test Account 1'!$K:$K,Calculations!$A145,'Test Account 1'!$L:$L)*-1)</f>
        <v>0</v>
      </c>
      <c r="C145" s="4">
        <f>(SUMIF('Test Account 2'!$K:$K,Calculations!$A145,'Test Account 2'!$L:$L)*-1)</f>
        <v>0</v>
      </c>
      <c r="D145" s="4">
        <f>SUMIF('Test Account 3'!$J:$J,Calculations!$A145,'Test Account 3'!$K:$K)</f>
        <v>0</v>
      </c>
      <c r="E145" s="3">
        <f t="shared" si="17"/>
        <v>5</v>
      </c>
    </row>
    <row r="146" spans="1:5" x14ac:dyDescent="0.3">
      <c r="A146" s="5">
        <f t="shared" si="16"/>
        <v>45435</v>
      </c>
      <c r="B146" s="4">
        <f>(SUMIF('Test Account 1'!$K:$K,Calculations!$A146,'Test Account 1'!$L:$L)*-1)</f>
        <v>0</v>
      </c>
      <c r="C146" s="4">
        <f>(SUMIF('Test Account 2'!$K:$K,Calculations!$A146,'Test Account 2'!$L:$L)*-1)</f>
        <v>0</v>
      </c>
      <c r="D146" s="4">
        <f>SUMIF('Test Account 3'!$J:$J,Calculations!$A146,'Test Account 3'!$K:$K)</f>
        <v>0</v>
      </c>
      <c r="E146" s="3">
        <f t="shared" si="17"/>
        <v>5</v>
      </c>
    </row>
    <row r="147" spans="1:5" x14ac:dyDescent="0.3">
      <c r="A147" s="5">
        <f t="shared" si="16"/>
        <v>45436</v>
      </c>
      <c r="B147" s="4">
        <f>(SUMIF('Test Account 1'!$K:$K,Calculations!$A147,'Test Account 1'!$L:$L)*-1)</f>
        <v>0</v>
      </c>
      <c r="C147" s="4">
        <f>(SUMIF('Test Account 2'!$K:$K,Calculations!$A147,'Test Account 2'!$L:$L)*-1)</f>
        <v>0</v>
      </c>
      <c r="D147" s="4">
        <f>SUMIF('Test Account 3'!$J:$J,Calculations!$A147,'Test Account 3'!$K:$K)</f>
        <v>0</v>
      </c>
      <c r="E147" s="3">
        <f t="shared" si="17"/>
        <v>5</v>
      </c>
    </row>
    <row r="148" spans="1:5" x14ac:dyDescent="0.3">
      <c r="A148" s="5">
        <f t="shared" si="16"/>
        <v>45437</v>
      </c>
      <c r="B148" s="4">
        <f>(SUMIF('Test Account 1'!$K:$K,Calculations!$A148,'Test Account 1'!$L:$L)*-1)</f>
        <v>0</v>
      </c>
      <c r="C148" s="4">
        <f>(SUMIF('Test Account 2'!$K:$K,Calculations!$A148,'Test Account 2'!$L:$L)*-1)</f>
        <v>0</v>
      </c>
      <c r="D148" s="4">
        <f>SUMIF('Test Account 3'!$J:$J,Calculations!$A148,'Test Account 3'!$K:$K)</f>
        <v>0</v>
      </c>
      <c r="E148" s="3">
        <f t="shared" si="17"/>
        <v>5</v>
      </c>
    </row>
    <row r="149" spans="1:5" x14ac:dyDescent="0.3">
      <c r="A149" s="5">
        <f t="shared" si="16"/>
        <v>45438</v>
      </c>
      <c r="B149" s="4">
        <f>(SUMIF('Test Account 1'!$K:$K,Calculations!$A149,'Test Account 1'!$L:$L)*-1)</f>
        <v>0</v>
      </c>
      <c r="C149" s="4">
        <f>(SUMIF('Test Account 2'!$K:$K,Calculations!$A149,'Test Account 2'!$L:$L)*-1)</f>
        <v>0</v>
      </c>
      <c r="D149" s="4">
        <f>SUMIF('Test Account 3'!$J:$J,Calculations!$A149,'Test Account 3'!$K:$K)</f>
        <v>0</v>
      </c>
      <c r="E149" s="3">
        <f t="shared" si="17"/>
        <v>5</v>
      </c>
    </row>
    <row r="150" spans="1:5" x14ac:dyDescent="0.3">
      <c r="A150" s="5">
        <f t="shared" ref="A150:A170" si="18">A149+1</f>
        <v>45439</v>
      </c>
      <c r="B150" s="4">
        <f>(SUMIF('Test Account 1'!$K:$K,Calculations!$A150,'Test Account 1'!$L:$L)*-1)</f>
        <v>0</v>
      </c>
      <c r="C150" s="4">
        <f>(SUMIF('Test Account 2'!$K:$K,Calculations!$A150,'Test Account 2'!$L:$L)*-1)</f>
        <v>0</v>
      </c>
      <c r="D150" s="4">
        <f>SUMIF('Test Account 3'!$J:$J,Calculations!$A150,'Test Account 3'!$K:$K)</f>
        <v>0</v>
      </c>
      <c r="E150" s="3">
        <f t="shared" ref="E150:E170" si="19">MONTH(A150)</f>
        <v>5</v>
      </c>
    </row>
    <row r="151" spans="1:5" x14ac:dyDescent="0.3">
      <c r="A151" s="5">
        <f t="shared" si="18"/>
        <v>45440</v>
      </c>
      <c r="B151" s="4">
        <f>(SUMIF('Test Account 1'!$K:$K,Calculations!$A151,'Test Account 1'!$L:$L)*-1)</f>
        <v>0</v>
      </c>
      <c r="C151" s="4">
        <f>(SUMIF('Test Account 2'!$K:$K,Calculations!$A151,'Test Account 2'!$L:$L)*-1)</f>
        <v>0</v>
      </c>
      <c r="D151" s="4">
        <f>SUMIF('Test Account 3'!$J:$J,Calculations!$A151,'Test Account 3'!$K:$K)</f>
        <v>0</v>
      </c>
      <c r="E151" s="3">
        <f t="shared" si="19"/>
        <v>5</v>
      </c>
    </row>
    <row r="152" spans="1:5" x14ac:dyDescent="0.3">
      <c r="A152" s="5">
        <f t="shared" si="18"/>
        <v>45441</v>
      </c>
      <c r="B152" s="4">
        <f>(SUMIF('Test Account 1'!$K:$K,Calculations!$A152,'Test Account 1'!$L:$L)*-1)</f>
        <v>0</v>
      </c>
      <c r="C152" s="4">
        <f>(SUMIF('Test Account 2'!$K:$K,Calculations!$A152,'Test Account 2'!$L:$L)*-1)</f>
        <v>0</v>
      </c>
      <c r="D152" s="4">
        <f>SUMIF('Test Account 3'!$J:$J,Calculations!$A152,'Test Account 3'!$K:$K)</f>
        <v>0</v>
      </c>
      <c r="E152" s="3">
        <f t="shared" si="19"/>
        <v>5</v>
      </c>
    </row>
    <row r="153" spans="1:5" x14ac:dyDescent="0.3">
      <c r="A153" s="5">
        <f t="shared" si="18"/>
        <v>45442</v>
      </c>
      <c r="B153" s="4">
        <f>(SUMIF('Test Account 1'!$K:$K,Calculations!$A153,'Test Account 1'!$L:$L)*-1)</f>
        <v>0</v>
      </c>
      <c r="C153" s="4">
        <f>(SUMIF('Test Account 2'!$K:$K,Calculations!$A153,'Test Account 2'!$L:$L)*-1)</f>
        <v>0</v>
      </c>
      <c r="D153" s="4">
        <f>SUMIF('Test Account 3'!$J:$J,Calculations!$A153,'Test Account 3'!$K:$K)</f>
        <v>0</v>
      </c>
      <c r="E153" s="3">
        <f t="shared" si="19"/>
        <v>5</v>
      </c>
    </row>
    <row r="154" spans="1:5" x14ac:dyDescent="0.3">
      <c r="A154" s="5">
        <f t="shared" si="18"/>
        <v>45443</v>
      </c>
      <c r="B154" s="4">
        <f>(SUMIF('Test Account 1'!$K:$K,Calculations!$A154,'Test Account 1'!$L:$L)*-1)</f>
        <v>0</v>
      </c>
      <c r="C154" s="4">
        <f>(SUMIF('Test Account 2'!$K:$K,Calculations!$A154,'Test Account 2'!$L:$L)*-1)</f>
        <v>0</v>
      </c>
      <c r="D154" s="4">
        <f>SUMIF('Test Account 3'!$J:$J,Calculations!$A154,'Test Account 3'!$K:$K)</f>
        <v>0</v>
      </c>
      <c r="E154" s="3">
        <f t="shared" si="19"/>
        <v>5</v>
      </c>
    </row>
    <row r="155" spans="1:5" x14ac:dyDescent="0.3">
      <c r="A155" s="5">
        <f t="shared" si="18"/>
        <v>45444</v>
      </c>
      <c r="B155" s="4">
        <f>(SUMIF('Test Account 1'!$K:$K,Calculations!$A155,'Test Account 1'!$L:$L)*-1)</f>
        <v>0</v>
      </c>
      <c r="C155" s="4">
        <f>(SUMIF('Test Account 2'!$K:$K,Calculations!$A155,'Test Account 2'!$L:$L)*-1)</f>
        <v>0</v>
      </c>
      <c r="D155" s="4">
        <f>SUMIF('Test Account 3'!$J:$J,Calculations!$A155,'Test Account 3'!$K:$K)</f>
        <v>0</v>
      </c>
      <c r="E155" s="3">
        <f t="shared" si="19"/>
        <v>6</v>
      </c>
    </row>
    <row r="156" spans="1:5" x14ac:dyDescent="0.3">
      <c r="A156" s="5">
        <f t="shared" si="18"/>
        <v>45445</v>
      </c>
      <c r="B156" s="4">
        <f>(SUMIF('Test Account 1'!$K:$K,Calculations!$A156,'Test Account 1'!$L:$L)*-1)</f>
        <v>0</v>
      </c>
      <c r="C156" s="4">
        <f>(SUMIF('Test Account 2'!$K:$K,Calculations!$A156,'Test Account 2'!$L:$L)*-1)</f>
        <v>0</v>
      </c>
      <c r="D156" s="4">
        <f>SUMIF('Test Account 3'!$J:$J,Calculations!$A156,'Test Account 3'!$K:$K)</f>
        <v>0</v>
      </c>
      <c r="E156" s="3">
        <f t="shared" si="19"/>
        <v>6</v>
      </c>
    </row>
    <row r="157" spans="1:5" x14ac:dyDescent="0.3">
      <c r="A157" s="5">
        <f t="shared" si="18"/>
        <v>45446</v>
      </c>
      <c r="B157" s="4">
        <f>(SUMIF('Test Account 1'!$K:$K,Calculations!$A157,'Test Account 1'!$L:$L)*-1)</f>
        <v>0</v>
      </c>
      <c r="C157" s="4">
        <f>(SUMIF('Test Account 2'!$K:$K,Calculations!$A157,'Test Account 2'!$L:$L)*-1)</f>
        <v>0</v>
      </c>
      <c r="D157" s="4">
        <f>SUMIF('Test Account 3'!$J:$J,Calculations!$A157,'Test Account 3'!$K:$K)</f>
        <v>0</v>
      </c>
      <c r="E157" s="3">
        <f t="shared" si="19"/>
        <v>6</v>
      </c>
    </row>
    <row r="158" spans="1:5" x14ac:dyDescent="0.3">
      <c r="A158" s="5">
        <f t="shared" si="18"/>
        <v>45447</v>
      </c>
      <c r="B158" s="4">
        <f>(SUMIF('Test Account 1'!$K:$K,Calculations!$A158,'Test Account 1'!$L:$L)*-1)</f>
        <v>0</v>
      </c>
      <c r="C158" s="4">
        <f>(SUMIF('Test Account 2'!$K:$K,Calculations!$A158,'Test Account 2'!$L:$L)*-1)</f>
        <v>0</v>
      </c>
      <c r="D158" s="4">
        <f>SUMIF('Test Account 3'!$J:$J,Calculations!$A158,'Test Account 3'!$K:$K)</f>
        <v>0</v>
      </c>
      <c r="E158" s="3">
        <f t="shared" si="19"/>
        <v>6</v>
      </c>
    </row>
    <row r="159" spans="1:5" x14ac:dyDescent="0.3">
      <c r="A159" s="5">
        <f t="shared" si="18"/>
        <v>45448</v>
      </c>
      <c r="B159" s="4">
        <f>(SUMIF('Test Account 1'!$K:$K,Calculations!$A159,'Test Account 1'!$L:$L)*-1)</f>
        <v>0</v>
      </c>
      <c r="C159" s="4">
        <f>(SUMIF('Test Account 2'!$K:$K,Calculations!$A159,'Test Account 2'!$L:$L)*-1)</f>
        <v>0</v>
      </c>
      <c r="D159" s="4">
        <f>SUMIF('Test Account 3'!$J:$J,Calculations!$A159,'Test Account 3'!$K:$K)</f>
        <v>0</v>
      </c>
      <c r="E159" s="3">
        <f t="shared" si="19"/>
        <v>6</v>
      </c>
    </row>
    <row r="160" spans="1:5" x14ac:dyDescent="0.3">
      <c r="A160" s="5">
        <f t="shared" si="18"/>
        <v>45449</v>
      </c>
      <c r="B160" s="4">
        <f>(SUMIF('Test Account 1'!$K:$K,Calculations!$A160,'Test Account 1'!$L:$L)*-1)</f>
        <v>0</v>
      </c>
      <c r="C160" s="4">
        <f>(SUMIF('Test Account 2'!$K:$K,Calculations!$A160,'Test Account 2'!$L:$L)*-1)</f>
        <v>0</v>
      </c>
      <c r="D160" s="4">
        <f>SUMIF('Test Account 3'!$J:$J,Calculations!$A160,'Test Account 3'!$K:$K)</f>
        <v>0</v>
      </c>
      <c r="E160" s="3">
        <f t="shared" si="19"/>
        <v>6</v>
      </c>
    </row>
    <row r="161" spans="1:5" x14ac:dyDescent="0.3">
      <c r="A161" s="5">
        <f t="shared" si="18"/>
        <v>45450</v>
      </c>
      <c r="B161" s="4">
        <f>(SUMIF('Test Account 1'!$K:$K,Calculations!$A161,'Test Account 1'!$L:$L)*-1)</f>
        <v>0</v>
      </c>
      <c r="C161" s="4">
        <f>(SUMIF('Test Account 2'!$K:$K,Calculations!$A161,'Test Account 2'!$L:$L)*-1)</f>
        <v>0</v>
      </c>
      <c r="D161" s="4">
        <f>SUMIF('Test Account 3'!$J:$J,Calculations!$A161,'Test Account 3'!$K:$K)</f>
        <v>0</v>
      </c>
      <c r="E161" s="3">
        <f t="shared" si="19"/>
        <v>6</v>
      </c>
    </row>
    <row r="162" spans="1:5" x14ac:dyDescent="0.3">
      <c r="A162" s="5">
        <f t="shared" si="18"/>
        <v>45451</v>
      </c>
      <c r="B162" s="4">
        <f>(SUMIF('Test Account 1'!$K:$K,Calculations!$A162,'Test Account 1'!$L:$L)*-1)</f>
        <v>0</v>
      </c>
      <c r="C162" s="4">
        <f>(SUMIF('Test Account 2'!$K:$K,Calculations!$A162,'Test Account 2'!$L:$L)*-1)</f>
        <v>0</v>
      </c>
      <c r="D162" s="4">
        <f>SUMIF('Test Account 3'!$J:$J,Calculations!$A162,'Test Account 3'!$K:$K)</f>
        <v>0</v>
      </c>
      <c r="E162" s="3">
        <f t="shared" si="19"/>
        <v>6</v>
      </c>
    </row>
    <row r="163" spans="1:5" x14ac:dyDescent="0.3">
      <c r="A163" s="5">
        <f t="shared" si="18"/>
        <v>45452</v>
      </c>
      <c r="B163" s="4">
        <f>(SUMIF('Test Account 1'!$K:$K,Calculations!$A163,'Test Account 1'!$L:$L)*-1)</f>
        <v>0</v>
      </c>
      <c r="C163" s="4">
        <f>(SUMIF('Test Account 2'!$K:$K,Calculations!$A163,'Test Account 2'!$L:$L)*-1)</f>
        <v>0</v>
      </c>
      <c r="D163" s="4">
        <f>SUMIF('Test Account 3'!$J:$J,Calculations!$A163,'Test Account 3'!$K:$K)</f>
        <v>0</v>
      </c>
      <c r="E163" s="3">
        <f t="shared" si="19"/>
        <v>6</v>
      </c>
    </row>
    <row r="164" spans="1:5" x14ac:dyDescent="0.3">
      <c r="A164" s="5">
        <f t="shared" si="18"/>
        <v>45453</v>
      </c>
      <c r="B164" s="4">
        <f>(SUMIF('Test Account 1'!$K:$K,Calculations!$A164,'Test Account 1'!$L:$L)*-1)</f>
        <v>0</v>
      </c>
      <c r="C164" s="4">
        <f>(SUMIF('Test Account 2'!$K:$K,Calculations!$A164,'Test Account 2'!$L:$L)*-1)</f>
        <v>0</v>
      </c>
      <c r="D164" s="4">
        <f>SUMIF('Test Account 3'!$J:$J,Calculations!$A164,'Test Account 3'!$K:$K)</f>
        <v>0</v>
      </c>
      <c r="E164" s="3">
        <f t="shared" si="19"/>
        <v>6</v>
      </c>
    </row>
    <row r="165" spans="1:5" x14ac:dyDescent="0.3">
      <c r="A165" s="5">
        <f t="shared" si="18"/>
        <v>45454</v>
      </c>
      <c r="B165" s="4">
        <f>(SUMIF('Test Account 1'!$K:$K,Calculations!$A165,'Test Account 1'!$L:$L)*-1)</f>
        <v>0</v>
      </c>
      <c r="C165" s="4">
        <f>(SUMIF('Test Account 2'!$K:$K,Calculations!$A165,'Test Account 2'!$L:$L)*-1)</f>
        <v>0</v>
      </c>
      <c r="D165" s="4">
        <f>SUMIF('Test Account 3'!$J:$J,Calculations!$A165,'Test Account 3'!$K:$K)</f>
        <v>0</v>
      </c>
      <c r="E165" s="3">
        <f t="shared" si="19"/>
        <v>6</v>
      </c>
    </row>
    <row r="166" spans="1:5" x14ac:dyDescent="0.3">
      <c r="A166" s="5">
        <f t="shared" si="18"/>
        <v>45455</v>
      </c>
      <c r="B166" s="4">
        <f>(SUMIF('Test Account 1'!$K:$K,Calculations!$A166,'Test Account 1'!$L:$L)*-1)</f>
        <v>0</v>
      </c>
      <c r="C166" s="4">
        <f>(SUMIF('Test Account 2'!$K:$K,Calculations!$A166,'Test Account 2'!$L:$L)*-1)</f>
        <v>0</v>
      </c>
      <c r="D166" s="4">
        <f>SUMIF('Test Account 3'!$J:$J,Calculations!$A166,'Test Account 3'!$K:$K)</f>
        <v>0</v>
      </c>
      <c r="E166" s="3">
        <f t="shared" si="19"/>
        <v>6</v>
      </c>
    </row>
    <row r="167" spans="1:5" x14ac:dyDescent="0.3">
      <c r="A167" s="5">
        <f t="shared" si="18"/>
        <v>45456</v>
      </c>
      <c r="B167" s="4">
        <f>(SUMIF('Test Account 1'!$K:$K,Calculations!$A167,'Test Account 1'!$L:$L)*-1)</f>
        <v>0</v>
      </c>
      <c r="C167" s="4">
        <f>(SUMIF('Test Account 2'!$K:$K,Calculations!$A167,'Test Account 2'!$L:$L)*-1)</f>
        <v>0</v>
      </c>
      <c r="D167" s="4">
        <f>SUMIF('Test Account 3'!$J:$J,Calculations!$A167,'Test Account 3'!$K:$K)</f>
        <v>0</v>
      </c>
      <c r="E167" s="3">
        <f t="shared" si="19"/>
        <v>6</v>
      </c>
    </row>
    <row r="168" spans="1:5" x14ac:dyDescent="0.3">
      <c r="A168" s="5">
        <f t="shared" si="18"/>
        <v>45457</v>
      </c>
      <c r="B168" s="4">
        <f>(SUMIF('Test Account 1'!$K:$K,Calculations!$A168,'Test Account 1'!$L:$L)*-1)</f>
        <v>0</v>
      </c>
      <c r="C168" s="4">
        <f>(SUMIF('Test Account 2'!$K:$K,Calculations!$A168,'Test Account 2'!$L:$L)*-1)</f>
        <v>0</v>
      </c>
      <c r="D168" s="4">
        <f>SUMIF('Test Account 3'!$J:$J,Calculations!$A168,'Test Account 3'!$K:$K)</f>
        <v>0</v>
      </c>
      <c r="E168" s="3">
        <f t="shared" si="19"/>
        <v>6</v>
      </c>
    </row>
    <row r="169" spans="1:5" x14ac:dyDescent="0.3">
      <c r="A169" s="5">
        <f t="shared" si="18"/>
        <v>45458</v>
      </c>
      <c r="B169" s="4">
        <f>(SUMIF('Test Account 1'!$K:$K,Calculations!$A169,'Test Account 1'!$L:$L)*-1)</f>
        <v>0</v>
      </c>
      <c r="C169" s="4">
        <f>(SUMIF('Test Account 2'!$K:$K,Calculations!$A169,'Test Account 2'!$L:$L)*-1)</f>
        <v>0</v>
      </c>
      <c r="D169" s="4">
        <f>SUMIF('Test Account 3'!$J:$J,Calculations!$A169,'Test Account 3'!$K:$K)</f>
        <v>0</v>
      </c>
      <c r="E169" s="3">
        <f t="shared" si="19"/>
        <v>6</v>
      </c>
    </row>
    <row r="170" spans="1:5" x14ac:dyDescent="0.3">
      <c r="A170" s="5">
        <f t="shared" si="18"/>
        <v>45459</v>
      </c>
      <c r="B170" s="4">
        <f>(SUMIF('Test Account 1'!$K:$K,Calculations!$A170,'Test Account 1'!$L:$L)*-1)</f>
        <v>0</v>
      </c>
      <c r="C170" s="4">
        <f>(SUMIF('Test Account 2'!$K:$K,Calculations!$A170,'Test Account 2'!$L:$L)*-1)</f>
        <v>0</v>
      </c>
      <c r="D170" s="4">
        <f>SUMIF('Test Account 3'!$J:$J,Calculations!$A170,'Test Account 3'!$K:$K)</f>
        <v>0</v>
      </c>
      <c r="E170" s="3">
        <f t="shared" si="19"/>
        <v>6</v>
      </c>
    </row>
  </sheetData>
  <mergeCells count="4">
    <mergeCell ref="L1:L2"/>
    <mergeCell ref="H1:H2"/>
    <mergeCell ref="A1:A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Account 1</vt:lpstr>
      <vt:lpstr>Test Account 2</vt:lpstr>
      <vt:lpstr>Test Account 3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Ryan Kirkendall</cp:lastModifiedBy>
  <dcterms:created xsi:type="dcterms:W3CDTF">2015-06-05T18:17:20Z</dcterms:created>
  <dcterms:modified xsi:type="dcterms:W3CDTF">2025-01-19T06:56:23Z</dcterms:modified>
</cp:coreProperties>
</file>