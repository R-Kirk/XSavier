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Coding_Python\Budget_App\Rev_3_Import_CSV\"/>
    </mc:Choice>
  </mc:AlternateContent>
  <xr:revisionPtr revIDLastSave="0" documentId="13_ncr:1_{45EA38B5-E1CE-4006-BC3F-C6D5B00483D9}" xr6:coauthVersionLast="47" xr6:coauthVersionMax="47" xr10:uidLastSave="{00000000-0000-0000-0000-000000000000}"/>
  <bookViews>
    <workbookView xWindow="11424" yWindow="0" windowWidth="11712" windowHeight="14736" xr2:uid="{00000000-000D-0000-FFFF-FFFF00000000}"/>
  </bookViews>
  <sheets>
    <sheet name="Plot_This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2" l="1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L2" i="2" s="1"/>
  <c r="U14" i="1"/>
  <c r="U13" i="1"/>
  <c r="U12" i="1"/>
  <c r="U11" i="1"/>
  <c r="U10" i="1"/>
  <c r="U9" i="1"/>
  <c r="U8" i="1"/>
  <c r="U7" i="1"/>
  <c r="U6" i="1"/>
  <c r="U5" i="1"/>
  <c r="U4" i="1"/>
  <c r="V4" i="1" s="1"/>
  <c r="V5" i="1" s="1"/>
  <c r="V6" i="1" s="1"/>
  <c r="V7" i="1" s="1"/>
  <c r="V8" i="1" s="1"/>
  <c r="V9" i="1" s="1"/>
  <c r="V10" i="1" s="1"/>
  <c r="V11" i="1" s="1"/>
  <c r="V12" i="1" s="1"/>
  <c r="V13" i="1" s="1"/>
  <c r="V14" i="1" s="1"/>
  <c r="U3" i="1"/>
  <c r="U2" i="1"/>
  <c r="V2" i="1" s="1"/>
  <c r="V3" i="1" s="1"/>
  <c r="L3" i="2" l="1"/>
  <c r="L4" i="2"/>
  <c r="L5" i="2" s="1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</calcChain>
</file>

<file path=xl/sharedStrings.xml><?xml version="1.0" encoding="utf-8"?>
<sst xmlns="http://schemas.openxmlformats.org/spreadsheetml/2006/main" count="299" uniqueCount="97">
  <si>
    <t>id</t>
  </si>
  <si>
    <t>Account</t>
  </si>
  <si>
    <t>Month</t>
  </si>
  <si>
    <t>Day</t>
  </si>
  <si>
    <t>Year</t>
  </si>
  <si>
    <t>Date</t>
  </si>
  <si>
    <t>Description</t>
  </si>
  <si>
    <t>Amount</t>
  </si>
  <si>
    <t>Tag1</t>
  </si>
  <si>
    <t>Tag2</t>
  </si>
  <si>
    <t>Eastex</t>
  </si>
  <si>
    <t>Beginning Balance</t>
  </si>
  <si>
    <t>Withdrawal KIRKENDALL RYAN DISCOVER-E-PAYMENT 2907 (S) DISCOVER-E-PAYMENTKIRKENDALL RYAN</t>
  </si>
  <si>
    <t>NA</t>
  </si>
  <si>
    <t>Deposit JOHNSON CONTROLS-PAYROLL JMD********1956 JOHNSON CONTROLS-PAYROLLKIRKENDALL RYAN DANIEL</t>
  </si>
  <si>
    <t>Capitol One</t>
  </si>
  <si>
    <t>HULU 877-8244858 CA</t>
  </si>
  <si>
    <t>Microsoft*Microsoft 36</t>
  </si>
  <si>
    <t>Discover</t>
  </si>
  <si>
    <t>Withdrawal RYAN KIRKENDALL VENMO-PAYMENT *********0875 VENMO-PAYMENTRYAN KIRKENDALL</t>
  </si>
  <si>
    <t>Withdrawal RYAN KIRKENDALL VENMO-PAYMENT *********1465 VENMO-PAYMENTRYAN KIRKENDALL</t>
  </si>
  <si>
    <t>Withdrawal Ryan Kirkendall ROBINHOOD-DEBITS *****4715 (S) ROBINHOOD-DEBITSRyan Kirkendall</t>
  </si>
  <si>
    <t>Withdrawal RYAN KIRKENDALL VENMO-PAYMENT *********1220 VENMO-PAYMENTRYAN KIRKENDALL</t>
  </si>
  <si>
    <t>Withdrawal RYAN KIRKENDALL VENMO-PAYMENT *********9792 VENMO-PAYMENTRYAN KIRKENDALL</t>
  </si>
  <si>
    <t>Withdrawal RYAN KIRKENDALL VENMO-PAYMENT *********2919 VENMO-PAYMENTRYAN KIRKENDALL</t>
  </si>
  <si>
    <t>Withdrawal RYAN KIRKENDALL VENMO-PAYMENT *********1214 VENMO-PAYMENTRYAN KIRKENDALL</t>
  </si>
  <si>
    <t>Withdrawal RYAN KIRKENDALL VENMO-PAYMENT *********5677 VENMO-PAYMENTRYAN KIRKENDALL</t>
  </si>
  <si>
    <t>Withdrawal RYAN KIRKENDALL VENMO-PAYMENT *********7108 VENMO-PAYMENTRYAN KIRKENDALL</t>
  </si>
  <si>
    <t>Withdrawal RYAN KIRKENDALL VENMO-PAYMENT *********3127 VENMO-PAYMENTRYAN KIRKENDALL</t>
  </si>
  <si>
    <t>Withdrawal RYAN KIRKENDALL VENMO-PAYMENT *********4601 VENMO-PAYMENTRYAN KIRKENDALL</t>
  </si>
  <si>
    <t>DIRECTPAY FULL BALANCESEE DETAILS OF YOUR NEXT DIRECTPAY BELOW</t>
  </si>
  <si>
    <t>APPLE.COM/BILL 866-712-7753 CAAPPLE PAY ENDING IN 4539MTNFZY1VLSA0</t>
  </si>
  <si>
    <t>APPLE.COM/BILL 866-712-7753 CAAPPLE PAY ENDING IN 4539MTNG051131A0</t>
  </si>
  <si>
    <t>TARGET 00013532</t>
  </si>
  <si>
    <t>SHAKE SHACK - 1352</t>
  </si>
  <si>
    <t>RAISING CANES 0247</t>
  </si>
  <si>
    <t>EXXON ON THE RUN #602</t>
  </si>
  <si>
    <t>DIERBERGS MARKET PLA</t>
  </si>
  <si>
    <t>WM SUPERCENTER #2600</t>
  </si>
  <si>
    <t>CHICK-FIL-A #01976</t>
  </si>
  <si>
    <t>QDOBA 2172</t>
  </si>
  <si>
    <t>ME-CHESTERFIELD-MICROS</t>
  </si>
  <si>
    <t>ST. LOUIS PARKING COMP</t>
  </si>
  <si>
    <t>GATEWAY ARCH ONLINE</t>
  </si>
  <si>
    <t>SQ *ARCH CAFE LLC</t>
  </si>
  <si>
    <t>CITYOFSTLOUIS-LAMBERT</t>
  </si>
  <si>
    <t>CHIPOTLE 0918</t>
  </si>
  <si>
    <t>MCDONALD'S F7678</t>
  </si>
  <si>
    <t>SOUTHWES  5264232322949</t>
  </si>
  <si>
    <t>MO DMV</t>
  </si>
  <si>
    <t>SOUTHWES  5262263985843</t>
  </si>
  <si>
    <t>EXXON ON THE RUN #523</t>
  </si>
  <si>
    <t>U-HAUL-CTR-W-COUNT #73</t>
  </si>
  <si>
    <t>WALGREENS #7185</t>
  </si>
  <si>
    <t xml:space="preserve"> </t>
  </si>
  <si>
    <t>Withdrawal Home Banking Transfer To Share 10 REF# 68377371</t>
  </si>
  <si>
    <t>Withdrawal Home Banking Transfer To Share 10 REF# 68357919</t>
  </si>
  <si>
    <t>Withdrawal Home Banking Transfer To Share 10 REF# 68377475</t>
  </si>
  <si>
    <t>HANSON PROFESSIO  : DIRECT DEP   : 9111111102</t>
  </si>
  <si>
    <t>Withdrawal Home Banking Transfer To Share 10 REF# 68687003</t>
  </si>
  <si>
    <t>Withdrawal Home Banking Transfer To Share 10 REF# 68738662</t>
  </si>
  <si>
    <t>MO DEPT REVENUE  : MOSTTAXRFD   : 9FSERIES</t>
  </si>
  <si>
    <t>VENMO  : PAYMENT   : 3264681992  CO: VENMO NAME: SARAH CAVANAUGH</t>
  </si>
  <si>
    <t>Deposit Home Banking Transfer From Share 00 REF# 68357919</t>
  </si>
  <si>
    <t>Deposit Home Banking Transfer From Share 95 REF# 68377371</t>
  </si>
  <si>
    <t>Deposit Home Banking Transfer From Share 00 REF# 68377475</t>
  </si>
  <si>
    <t>Withdrawal FIRST BANK 1730 CLARKSON RD CREVE COEUR MO Card 2797</t>
  </si>
  <si>
    <t>VENMO  : CASHOUT   : 5264681992  CO: VENMO</t>
  </si>
  <si>
    <t>Midwest Diversif  : WEB PMTS   : 9000327993</t>
  </si>
  <si>
    <t>Deposit Home Banking Transfer From Share 00 REF# 68687003</t>
  </si>
  <si>
    <t>AMERICAN FAMILY  : WEBPAYMENT   : PEBP075965</t>
  </si>
  <si>
    <t>BANK OF AMERICA  : ONLINE PMT   : 9500000000</t>
  </si>
  <si>
    <t>CAPITAL ONE  : MOBILE PMT   : 9279744380</t>
  </si>
  <si>
    <t>Deposit Home Banking Transfer From Share 00 REF# 68738662</t>
  </si>
  <si>
    <t>CHATEAU ON LAKE RESORT</t>
  </si>
  <si>
    <t>TST* MARIA BONITA</t>
  </si>
  <si>
    <t>TOPGOLF CHESTERFLD 42-</t>
  </si>
  <si>
    <t>APPLE.COM/BILL</t>
  </si>
  <si>
    <t>NCEES.ORG</t>
  </si>
  <si>
    <t>CAPITAL ONE MOBILE PYMT</t>
  </si>
  <si>
    <t>IC* INSTACART*SCHNUCKS</t>
  </si>
  <si>
    <t>DD DOORDASH SNARFSSAN</t>
  </si>
  <si>
    <t>JIMMY JOHNS  4303 - EC</t>
  </si>
  <si>
    <t>CLR*CYCLEBAR3143966766</t>
  </si>
  <si>
    <t>QBE INSURANCE</t>
  </si>
  <si>
    <t>Amazon Prime*RZ0FO05D2</t>
  </si>
  <si>
    <t>DIERBERGS MARKET PL</t>
  </si>
  <si>
    <t>AMAZON PRIME*R67LT3GS0</t>
  </si>
  <si>
    <t>AMZN Mktp US*R63ST9NI0</t>
  </si>
  <si>
    <t>WAL-MART #2600</t>
  </si>
  <si>
    <t>AMZN Mktp US*RZ5EK8M71</t>
  </si>
  <si>
    <t>AMZN Mktp US*RN59L6XU0</t>
  </si>
  <si>
    <t>AMZN Mktp US*RZ1NE1AD1</t>
  </si>
  <si>
    <t>PANDA EXPRESS #1977</t>
  </si>
  <si>
    <t>AMZN Mktp US*RZ2LJ5G42</t>
  </si>
  <si>
    <t>Desc</t>
  </si>
  <si>
    <t>3/1/2024_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</si>
</sst>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Plot_This!$T$2:$T$14</c:f>
              <c:numCache>
                <c:formatCode>m/d/yyyy</c:formatCode>
                <c:ptCount val="13"/>
                <c:pt idx="0">
                  <c:v>45352</c:v>
                </c:pt>
                <c:pt idx="1">
                  <c:v>45353</c:v>
                </c:pt>
                <c:pt idx="2">
                  <c:v>45355</c:v>
                </c:pt>
                <c:pt idx="3">
                  <c:v>45356</c:v>
                </c:pt>
                <c:pt idx="4">
                  <c:v>45357</c:v>
                </c:pt>
                <c:pt idx="5">
                  <c:v>45358</c:v>
                </c:pt>
                <c:pt idx="6">
                  <c:v>45359</c:v>
                </c:pt>
                <c:pt idx="7">
                  <c:v>45360</c:v>
                </c:pt>
                <c:pt idx="8">
                  <c:v>45362</c:v>
                </c:pt>
                <c:pt idx="9">
                  <c:v>45363</c:v>
                </c:pt>
                <c:pt idx="10">
                  <c:v>45364</c:v>
                </c:pt>
                <c:pt idx="11">
                  <c:v>45365</c:v>
                </c:pt>
                <c:pt idx="12">
                  <c:v>45367</c:v>
                </c:pt>
              </c:numCache>
            </c:numRef>
          </c:xVal>
          <c:yVal>
            <c:numRef>
              <c:f>Plot_This!$V$2:$V$14</c:f>
              <c:numCache>
                <c:formatCode>General</c:formatCode>
                <c:ptCount val="13"/>
                <c:pt idx="0">
                  <c:v>-57.540000000000006</c:v>
                </c:pt>
                <c:pt idx="1">
                  <c:v>-64.53</c:v>
                </c:pt>
                <c:pt idx="2">
                  <c:v>-2585.5300000000002</c:v>
                </c:pt>
                <c:pt idx="3">
                  <c:v>-2863.48</c:v>
                </c:pt>
                <c:pt idx="4">
                  <c:v>-2001.1100000000001</c:v>
                </c:pt>
                <c:pt idx="5">
                  <c:v>-2944.21</c:v>
                </c:pt>
                <c:pt idx="6">
                  <c:v>-1227.3100000000002</c:v>
                </c:pt>
                <c:pt idx="7">
                  <c:v>-1346.9500000000003</c:v>
                </c:pt>
                <c:pt idx="8">
                  <c:v>-1696.8900000000003</c:v>
                </c:pt>
                <c:pt idx="9">
                  <c:v>-1751.8800000000003</c:v>
                </c:pt>
                <c:pt idx="10">
                  <c:v>-1808.7200000000003</c:v>
                </c:pt>
                <c:pt idx="11">
                  <c:v>-2053.46</c:v>
                </c:pt>
                <c:pt idx="12">
                  <c:v>-2140.6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70-4366-8015-EEF6642EE2A0}"/>
            </c:ext>
          </c:extLst>
        </c:ser>
        <c:ser>
          <c:idx val="1"/>
          <c:order val="1"/>
          <c:tx>
            <c:v>Sarah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Sheet1!$J$2:$J$16</c:f>
              <c:numCache>
                <c:formatCode>m/d/yyyy</c:formatCode>
                <c:ptCount val="15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45367</c:v>
                </c:pt>
              </c:numCache>
            </c:numRef>
          </c:xVal>
          <c:yVal>
            <c:numRef>
              <c:f>Sheet1!$L$2:$L$16</c:f>
              <c:numCache>
                <c:formatCode>General</c:formatCode>
                <c:ptCount val="15"/>
                <c:pt idx="0">
                  <c:v>-951.09</c:v>
                </c:pt>
                <c:pt idx="1">
                  <c:v>-977.96</c:v>
                </c:pt>
                <c:pt idx="2">
                  <c:v>-1006.98</c:v>
                </c:pt>
                <c:pt idx="3">
                  <c:v>-1825.1399999999999</c:v>
                </c:pt>
                <c:pt idx="4">
                  <c:v>-1894.9299999999998</c:v>
                </c:pt>
                <c:pt idx="5">
                  <c:v>-1959.1699999999998</c:v>
                </c:pt>
                <c:pt idx="6">
                  <c:v>-2178.9499999999998</c:v>
                </c:pt>
                <c:pt idx="7">
                  <c:v>-205.67000000000007</c:v>
                </c:pt>
                <c:pt idx="8">
                  <c:v>-249.43000000000006</c:v>
                </c:pt>
                <c:pt idx="9">
                  <c:v>-338.93000000000006</c:v>
                </c:pt>
                <c:pt idx="10">
                  <c:v>563.44999999999993</c:v>
                </c:pt>
                <c:pt idx="11">
                  <c:v>-1747.1200000000003</c:v>
                </c:pt>
                <c:pt idx="12">
                  <c:v>-2190.3600000000006</c:v>
                </c:pt>
                <c:pt idx="13">
                  <c:v>-2146.7700000000004</c:v>
                </c:pt>
                <c:pt idx="14">
                  <c:v>-2513.0300000000007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70-4366-8015-EEF6642EE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664832"/>
        <c:axId val="1175219952"/>
      </c:scatterChart>
      <c:valAx>
        <c:axId val="117366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219952"/>
        <c:crosses val="autoZero"/>
        <c:crossBetween val="midCat"/>
      </c:valAx>
      <c:valAx>
        <c:axId val="11752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664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6902274008201806E-2"/>
          <c:y val="9.7442432771314799E-2"/>
          <c:w val="0.94391015252160526"/>
          <c:h val="0.88999829434614475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Sheet1!$J$2:$J$16</c:f>
              <c:numCache>
                <c:formatCode>m/d/yyyy</c:formatCode>
                <c:ptCount val="15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45367</c:v>
                </c:pt>
              </c:numCache>
            </c:numRef>
          </c:cat>
          <c:val>
            <c:numRef>
              <c:f>Sheet1!$L$2:$L$16</c:f>
              <c:numCache>
                <c:formatCode>General</c:formatCode>
                <c:ptCount val="15"/>
                <c:pt idx="0">
                  <c:v>-951.09</c:v>
                </c:pt>
                <c:pt idx="1">
                  <c:v>-977.96</c:v>
                </c:pt>
                <c:pt idx="2">
                  <c:v>-1006.98</c:v>
                </c:pt>
                <c:pt idx="3">
                  <c:v>-1825.1399999999999</c:v>
                </c:pt>
                <c:pt idx="4">
                  <c:v>-1894.9299999999998</c:v>
                </c:pt>
                <c:pt idx="5">
                  <c:v>-1959.1699999999998</c:v>
                </c:pt>
                <c:pt idx="6">
                  <c:v>-2178.9499999999998</c:v>
                </c:pt>
                <c:pt idx="7">
                  <c:v>-205.67000000000007</c:v>
                </c:pt>
                <c:pt idx="8">
                  <c:v>-249.43000000000006</c:v>
                </c:pt>
                <c:pt idx="9">
                  <c:v>-338.93000000000006</c:v>
                </c:pt>
                <c:pt idx="10">
                  <c:v>563.44999999999993</c:v>
                </c:pt>
                <c:pt idx="11">
                  <c:v>-1747.1200000000003</c:v>
                </c:pt>
                <c:pt idx="12">
                  <c:v>-2190.3600000000006</c:v>
                </c:pt>
                <c:pt idx="13">
                  <c:v>-2146.7700000000004</c:v>
                </c:pt>
                <c:pt idx="14">
                  <c:v>-2513.0300000000007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D0-43BD-86EA-BC913798B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062400"/>
        <c:axId val="234067200"/>
      </c:lineChart>
      <c:dateAx>
        <c:axId val="2340624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067200"/>
        <c:crosses val="autoZero"/>
        <c:auto val="1"/>
        <c:lblOffset val="100"/>
        <c:baseTimeUnit val="days"/>
      </c:dateAx>
      <c:valAx>
        <c:axId val="23406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062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4459110</xdr:colOff>
      <xdr:row>45</xdr:row>
      <xdr:rowOff>0</xdr:rowOff>
    </xdr:from>
    <xdr:to>
      <xdr:col>39</xdr:col>
      <xdr:colOff>17316</xdr:colOff>
      <xdr:row>81</xdr:row>
      <xdr:rowOff>51955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048F44-12C6-0E9F-FE3C-9F9CAB298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182880</xdr:colOff>
      <xdr:row>18</xdr:row>
      <xdr:rowOff>31431</xdr:rowOff>
    </xdr:from>
    <xdr:to>
      <xdr:col>23</xdr:col>
      <xdr:colOff>388620</xdr:colOff>
      <xdr:row>48</xdr:row>
      <xdr:rowOff>154304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6B7680-FCAF-F934-246E-F341C0D9EC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4"/>
  <sheetViews>
    <sheetView tabSelected="1" topLeftCell="L41" zoomScale="47" zoomScaleNormal="55" workbookViewId="0">
      <selection activeCell="S89" sqref="S89"/>
    </sheetView>
  </sheetViews>
  <sheetFormatPr defaultRowHeight="14.4" x14ac:dyDescent="0.3"/>
  <cols>
    <col min="1" max="1" width="4" bestFit="1" customWidth="1"/>
    <col min="2" max="2" width="11.21875" bestFit="1" customWidth="1"/>
    <col min="3" max="3" width="6.33203125" bestFit="1" customWidth="1"/>
    <col min="4" max="4" width="4.109375" bestFit="1" customWidth="1"/>
    <col min="5" max="5" width="5" bestFit="1" customWidth="1"/>
    <col min="6" max="6" width="10.33203125" bestFit="1" customWidth="1"/>
    <col min="7" max="7" width="104" bestFit="1" customWidth="1"/>
    <col min="8" max="8" width="8.6640625" bestFit="1" customWidth="1"/>
    <col min="9" max="9" width="8.33203125" bestFit="1" customWidth="1"/>
    <col min="10" max="10" width="5" bestFit="1" customWidth="1"/>
    <col min="20" max="20" width="12.88671875" customWidth="1"/>
    <col min="21" max="21" width="11.886718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22" x14ac:dyDescent="0.3">
      <c r="A2">
        <v>180</v>
      </c>
      <c r="B2" t="s">
        <v>10</v>
      </c>
      <c r="C2">
        <v>3</v>
      </c>
      <c r="D2">
        <v>1</v>
      </c>
      <c r="E2">
        <v>2024</v>
      </c>
      <c r="F2" s="1">
        <v>45352</v>
      </c>
      <c r="G2" t="s">
        <v>11</v>
      </c>
      <c r="H2">
        <v>0</v>
      </c>
      <c r="I2" t="s">
        <v>13</v>
      </c>
      <c r="J2" t="s">
        <v>13</v>
      </c>
      <c r="T2" s="1">
        <v>45352</v>
      </c>
      <c r="U2">
        <f>SUMIF(F:F,$T2,H:H)</f>
        <v>-57.540000000000006</v>
      </c>
      <c r="V2">
        <f>U2</f>
        <v>-57.540000000000006</v>
      </c>
    </row>
    <row r="3" spans="1:22" x14ac:dyDescent="0.3">
      <c r="A3">
        <v>195</v>
      </c>
      <c r="B3" t="s">
        <v>10</v>
      </c>
      <c r="C3">
        <v>3</v>
      </c>
      <c r="D3">
        <v>1</v>
      </c>
      <c r="E3">
        <v>2024</v>
      </c>
      <c r="F3" s="1">
        <v>45352</v>
      </c>
      <c r="G3" t="s">
        <v>11</v>
      </c>
      <c r="H3">
        <v>0</v>
      </c>
      <c r="I3" t="s">
        <v>13</v>
      </c>
      <c r="J3" t="s">
        <v>13</v>
      </c>
      <c r="T3" s="1">
        <v>45353</v>
      </c>
      <c r="U3">
        <f t="shared" ref="U3:U14" si="0">SUMIF(F:F,$T3,H:H)</f>
        <v>-6.99</v>
      </c>
      <c r="V3">
        <f>U3+V2</f>
        <v>-64.53</v>
      </c>
    </row>
    <row r="4" spans="1:22" x14ac:dyDescent="0.3">
      <c r="A4">
        <v>265</v>
      </c>
      <c r="B4" t="s">
        <v>15</v>
      </c>
      <c r="C4">
        <v>3</v>
      </c>
      <c r="D4">
        <v>1</v>
      </c>
      <c r="E4">
        <v>2024</v>
      </c>
      <c r="F4" s="1">
        <v>45352</v>
      </c>
      <c r="G4" t="s">
        <v>37</v>
      </c>
      <c r="H4">
        <v>-41.24</v>
      </c>
      <c r="I4" t="s">
        <v>13</v>
      </c>
      <c r="J4" t="s">
        <v>13</v>
      </c>
      <c r="T4" s="1">
        <v>45355</v>
      </c>
      <c r="U4">
        <f t="shared" si="0"/>
        <v>-2521</v>
      </c>
      <c r="V4">
        <f t="shared" ref="V4:V14" si="1">U4+V3</f>
        <v>-2585.5300000000002</v>
      </c>
    </row>
    <row r="5" spans="1:22" x14ac:dyDescent="0.3">
      <c r="A5">
        <v>266</v>
      </c>
      <c r="B5" t="s">
        <v>15</v>
      </c>
      <c r="C5">
        <v>3</v>
      </c>
      <c r="D5">
        <v>1</v>
      </c>
      <c r="E5">
        <v>2024</v>
      </c>
      <c r="F5" s="1">
        <v>45352</v>
      </c>
      <c r="G5" t="s">
        <v>53</v>
      </c>
      <c r="H5">
        <v>-16.3</v>
      </c>
      <c r="I5" t="s">
        <v>13</v>
      </c>
      <c r="J5" t="s">
        <v>13</v>
      </c>
      <c r="T5" s="1">
        <v>45356</v>
      </c>
      <c r="U5">
        <f t="shared" si="0"/>
        <v>-277.95</v>
      </c>
      <c r="V5">
        <f t="shared" si="1"/>
        <v>-2863.48</v>
      </c>
    </row>
    <row r="6" spans="1:22" x14ac:dyDescent="0.3">
      <c r="A6">
        <v>264</v>
      </c>
      <c r="B6" t="s">
        <v>15</v>
      </c>
      <c r="C6">
        <v>3</v>
      </c>
      <c r="D6">
        <v>2</v>
      </c>
      <c r="E6">
        <v>2024</v>
      </c>
      <c r="F6" s="1">
        <v>45353</v>
      </c>
      <c r="G6" t="s">
        <v>17</v>
      </c>
      <c r="H6">
        <v>-6.99</v>
      </c>
      <c r="I6" t="s">
        <v>13</v>
      </c>
      <c r="J6" t="s">
        <v>13</v>
      </c>
      <c r="T6" s="1">
        <v>45357</v>
      </c>
      <c r="U6">
        <f t="shared" si="0"/>
        <v>862.37</v>
      </c>
      <c r="V6">
        <f t="shared" si="1"/>
        <v>-2001.1100000000001</v>
      </c>
    </row>
    <row r="7" spans="1:22" x14ac:dyDescent="0.3">
      <c r="A7">
        <v>191</v>
      </c>
      <c r="B7" t="s">
        <v>10</v>
      </c>
      <c r="C7">
        <v>3</v>
      </c>
      <c r="D7">
        <v>4</v>
      </c>
      <c r="E7">
        <v>2024</v>
      </c>
      <c r="F7" s="1">
        <v>45355</v>
      </c>
      <c r="G7" t="s">
        <v>26</v>
      </c>
      <c r="H7">
        <v>-826</v>
      </c>
      <c r="I7" t="s">
        <v>13</v>
      </c>
      <c r="J7" t="s">
        <v>13</v>
      </c>
      <c r="T7" s="1">
        <v>45358</v>
      </c>
      <c r="U7">
        <f t="shared" si="0"/>
        <v>-943.1</v>
      </c>
      <c r="V7">
        <f t="shared" si="1"/>
        <v>-2944.21</v>
      </c>
    </row>
    <row r="8" spans="1:22" x14ac:dyDescent="0.3">
      <c r="A8">
        <v>192</v>
      </c>
      <c r="B8" t="s">
        <v>10</v>
      </c>
      <c r="C8">
        <v>3</v>
      </c>
      <c r="D8">
        <v>4</v>
      </c>
      <c r="E8">
        <v>2024</v>
      </c>
      <c r="F8" s="1">
        <v>45355</v>
      </c>
      <c r="G8" t="s">
        <v>27</v>
      </c>
      <c r="H8">
        <v>-31</v>
      </c>
      <c r="I8" t="s">
        <v>13</v>
      </c>
      <c r="J8" t="s">
        <v>13</v>
      </c>
      <c r="T8" s="1">
        <v>45359</v>
      </c>
      <c r="U8">
        <f t="shared" si="0"/>
        <v>1716.8999999999999</v>
      </c>
      <c r="V8">
        <f t="shared" si="1"/>
        <v>-1227.3100000000002</v>
      </c>
    </row>
    <row r="9" spans="1:22" x14ac:dyDescent="0.3">
      <c r="A9">
        <v>193</v>
      </c>
      <c r="B9" t="s">
        <v>10</v>
      </c>
      <c r="C9">
        <v>3</v>
      </c>
      <c r="D9">
        <v>4</v>
      </c>
      <c r="E9">
        <v>2024</v>
      </c>
      <c r="F9" s="1">
        <v>45355</v>
      </c>
      <c r="G9" t="s">
        <v>28</v>
      </c>
      <c r="H9">
        <v>-26</v>
      </c>
      <c r="I9" t="s">
        <v>13</v>
      </c>
      <c r="J9" t="s">
        <v>13</v>
      </c>
      <c r="T9" s="1">
        <v>45360</v>
      </c>
      <c r="U9">
        <f t="shared" si="0"/>
        <v>-119.63999999999999</v>
      </c>
      <c r="V9">
        <f t="shared" si="1"/>
        <v>-1346.9500000000003</v>
      </c>
    </row>
    <row r="10" spans="1:22" x14ac:dyDescent="0.3">
      <c r="A10">
        <v>194</v>
      </c>
      <c r="B10" t="s">
        <v>10</v>
      </c>
      <c r="C10">
        <v>3</v>
      </c>
      <c r="D10">
        <v>4</v>
      </c>
      <c r="E10">
        <v>2024</v>
      </c>
      <c r="F10" s="1">
        <v>45355</v>
      </c>
      <c r="G10" t="s">
        <v>29</v>
      </c>
      <c r="H10">
        <v>-15</v>
      </c>
      <c r="I10" t="s">
        <v>13</v>
      </c>
      <c r="J10" t="s">
        <v>13</v>
      </c>
      <c r="T10" s="1">
        <v>45362</v>
      </c>
      <c r="U10">
        <f t="shared" si="0"/>
        <v>-349.94</v>
      </c>
      <c r="V10">
        <f t="shared" si="1"/>
        <v>-1696.8900000000003</v>
      </c>
    </row>
    <row r="11" spans="1:22" x14ac:dyDescent="0.3">
      <c r="A11">
        <v>259</v>
      </c>
      <c r="B11" t="s">
        <v>15</v>
      </c>
      <c r="C11">
        <v>3</v>
      </c>
      <c r="D11">
        <v>4</v>
      </c>
      <c r="E11">
        <v>2024</v>
      </c>
      <c r="F11" s="1">
        <v>45355</v>
      </c>
      <c r="G11" t="s">
        <v>38</v>
      </c>
      <c r="H11">
        <v>-56.11</v>
      </c>
      <c r="I11" t="s">
        <v>13</v>
      </c>
      <c r="J11" t="s">
        <v>13</v>
      </c>
      <c r="T11" s="1">
        <v>45363</v>
      </c>
      <c r="U11">
        <f t="shared" si="0"/>
        <v>-54.99</v>
      </c>
      <c r="V11">
        <f t="shared" si="1"/>
        <v>-1751.8800000000003</v>
      </c>
    </row>
    <row r="12" spans="1:22" x14ac:dyDescent="0.3">
      <c r="A12">
        <v>260</v>
      </c>
      <c r="B12" t="s">
        <v>15</v>
      </c>
      <c r="C12">
        <v>3</v>
      </c>
      <c r="D12">
        <v>4</v>
      </c>
      <c r="E12">
        <v>2024</v>
      </c>
      <c r="F12" s="1">
        <v>45355</v>
      </c>
      <c r="G12" t="s">
        <v>50</v>
      </c>
      <c r="H12">
        <v>-1439.92</v>
      </c>
      <c r="I12" t="s">
        <v>13</v>
      </c>
      <c r="J12" t="s">
        <v>13</v>
      </c>
      <c r="T12" s="1">
        <v>45364</v>
      </c>
      <c r="U12">
        <f t="shared" si="0"/>
        <v>-56.84</v>
      </c>
      <c r="V12">
        <f t="shared" si="1"/>
        <v>-1808.7200000000003</v>
      </c>
    </row>
    <row r="13" spans="1:22" x14ac:dyDescent="0.3">
      <c r="A13">
        <v>261</v>
      </c>
      <c r="B13" t="s">
        <v>15</v>
      </c>
      <c r="C13">
        <v>3</v>
      </c>
      <c r="D13">
        <v>4</v>
      </c>
      <c r="E13">
        <v>2024</v>
      </c>
      <c r="F13" s="1">
        <v>45355</v>
      </c>
      <c r="G13" t="s">
        <v>51</v>
      </c>
      <c r="H13">
        <v>-25.77</v>
      </c>
      <c r="I13" t="s">
        <v>13</v>
      </c>
      <c r="J13" t="s">
        <v>13</v>
      </c>
      <c r="T13" s="1">
        <v>45365</v>
      </c>
      <c r="U13">
        <f t="shared" si="0"/>
        <v>-244.73999999999998</v>
      </c>
      <c r="V13">
        <f t="shared" si="1"/>
        <v>-2053.46</v>
      </c>
    </row>
    <row r="14" spans="1:22" x14ac:dyDescent="0.3">
      <c r="A14">
        <v>262</v>
      </c>
      <c r="B14" t="s">
        <v>15</v>
      </c>
      <c r="C14">
        <v>3</v>
      </c>
      <c r="D14">
        <v>4</v>
      </c>
      <c r="E14">
        <v>2024</v>
      </c>
      <c r="F14" s="1">
        <v>45355</v>
      </c>
      <c r="G14" t="s">
        <v>52</v>
      </c>
      <c r="H14">
        <v>-87.96</v>
      </c>
      <c r="I14" t="s">
        <v>13</v>
      </c>
      <c r="J14" t="s">
        <v>13</v>
      </c>
      <c r="T14" s="1">
        <v>45367</v>
      </c>
      <c r="U14">
        <f t="shared" si="0"/>
        <v>-87.140000000000015</v>
      </c>
      <c r="V14">
        <f t="shared" si="1"/>
        <v>-2140.6</v>
      </c>
    </row>
    <row r="15" spans="1:22" x14ac:dyDescent="0.3">
      <c r="A15">
        <v>263</v>
      </c>
      <c r="B15" t="s">
        <v>15</v>
      </c>
      <c r="C15">
        <v>3</v>
      </c>
      <c r="D15">
        <v>4</v>
      </c>
      <c r="E15">
        <v>2024</v>
      </c>
      <c r="F15" s="1">
        <v>45355</v>
      </c>
      <c r="G15" t="s">
        <v>47</v>
      </c>
      <c r="H15">
        <v>-13.24</v>
      </c>
      <c r="I15" t="s">
        <v>13</v>
      </c>
      <c r="J15" t="s">
        <v>13</v>
      </c>
    </row>
    <row r="16" spans="1:22" x14ac:dyDescent="0.3">
      <c r="A16">
        <v>190</v>
      </c>
      <c r="B16" t="s">
        <v>10</v>
      </c>
      <c r="C16">
        <v>3</v>
      </c>
      <c r="D16">
        <v>5</v>
      </c>
      <c r="E16">
        <v>2024</v>
      </c>
      <c r="F16" s="1">
        <v>45356</v>
      </c>
      <c r="G16" t="s">
        <v>21</v>
      </c>
      <c r="H16">
        <v>-240</v>
      </c>
      <c r="I16" t="s">
        <v>13</v>
      </c>
      <c r="J16" t="s">
        <v>13</v>
      </c>
    </row>
    <row r="17" spans="1:10" x14ac:dyDescent="0.3">
      <c r="A17">
        <v>258</v>
      </c>
      <c r="B17" t="s">
        <v>15</v>
      </c>
      <c r="C17">
        <v>3</v>
      </c>
      <c r="D17">
        <v>5</v>
      </c>
      <c r="E17">
        <v>2024</v>
      </c>
      <c r="F17" s="1">
        <v>45356</v>
      </c>
      <c r="G17" t="s">
        <v>37</v>
      </c>
      <c r="H17">
        <v>-37.950000000000003</v>
      </c>
      <c r="I17" t="s">
        <v>13</v>
      </c>
      <c r="J17" t="s">
        <v>13</v>
      </c>
    </row>
    <row r="18" spans="1:10" x14ac:dyDescent="0.3">
      <c r="A18">
        <v>230</v>
      </c>
      <c r="B18" t="s">
        <v>18</v>
      </c>
      <c r="C18">
        <v>3</v>
      </c>
      <c r="D18">
        <v>6</v>
      </c>
      <c r="E18">
        <v>2024</v>
      </c>
      <c r="F18" s="1">
        <v>45357</v>
      </c>
      <c r="G18" t="s">
        <v>30</v>
      </c>
      <c r="H18">
        <v>924.52</v>
      </c>
      <c r="I18" t="s">
        <v>13</v>
      </c>
      <c r="J18" t="s">
        <v>13</v>
      </c>
    </row>
    <row r="19" spans="1:10" x14ac:dyDescent="0.3">
      <c r="A19">
        <v>256</v>
      </c>
      <c r="B19" t="s">
        <v>15</v>
      </c>
      <c r="C19">
        <v>3</v>
      </c>
      <c r="D19">
        <v>6</v>
      </c>
      <c r="E19">
        <v>2024</v>
      </c>
      <c r="F19" s="1">
        <v>45357</v>
      </c>
      <c r="G19" t="s">
        <v>37</v>
      </c>
      <c r="H19">
        <v>-42.01</v>
      </c>
      <c r="I19" t="s">
        <v>13</v>
      </c>
      <c r="J19" t="s">
        <v>13</v>
      </c>
    </row>
    <row r="20" spans="1:10" x14ac:dyDescent="0.3">
      <c r="A20">
        <v>257</v>
      </c>
      <c r="B20" t="s">
        <v>15</v>
      </c>
      <c r="C20">
        <v>3</v>
      </c>
      <c r="D20">
        <v>6</v>
      </c>
      <c r="E20">
        <v>2024</v>
      </c>
      <c r="F20" s="1">
        <v>45357</v>
      </c>
      <c r="G20" t="s">
        <v>49</v>
      </c>
      <c r="H20">
        <v>-20.14</v>
      </c>
      <c r="I20" t="s">
        <v>13</v>
      </c>
      <c r="J20" t="s">
        <v>13</v>
      </c>
    </row>
    <row r="21" spans="1:10" x14ac:dyDescent="0.3">
      <c r="A21">
        <v>188</v>
      </c>
      <c r="B21" t="s">
        <v>10</v>
      </c>
      <c r="C21">
        <v>3</v>
      </c>
      <c r="D21">
        <v>7</v>
      </c>
      <c r="E21">
        <v>2024</v>
      </c>
      <c r="F21" s="1">
        <v>45358</v>
      </c>
      <c r="G21" t="s">
        <v>25</v>
      </c>
      <c r="H21">
        <v>-26.23</v>
      </c>
      <c r="I21" t="s">
        <v>13</v>
      </c>
      <c r="J21" t="s">
        <v>13</v>
      </c>
    </row>
    <row r="22" spans="1:10" x14ac:dyDescent="0.3">
      <c r="A22">
        <v>189</v>
      </c>
      <c r="B22" t="s">
        <v>10</v>
      </c>
      <c r="C22">
        <v>3</v>
      </c>
      <c r="D22">
        <v>7</v>
      </c>
      <c r="E22">
        <v>2024</v>
      </c>
      <c r="F22" s="1">
        <v>45358</v>
      </c>
      <c r="G22" t="s">
        <v>12</v>
      </c>
      <c r="H22">
        <v>-924.52</v>
      </c>
      <c r="I22" t="s">
        <v>13</v>
      </c>
      <c r="J22" t="s">
        <v>13</v>
      </c>
    </row>
    <row r="23" spans="1:10" x14ac:dyDescent="0.3">
      <c r="A23">
        <v>254</v>
      </c>
      <c r="B23" t="s">
        <v>15</v>
      </c>
      <c r="C23">
        <v>3</v>
      </c>
      <c r="D23">
        <v>7</v>
      </c>
      <c r="E23">
        <v>2024</v>
      </c>
      <c r="F23" s="1">
        <v>45358</v>
      </c>
      <c r="G23" t="s">
        <v>49</v>
      </c>
      <c r="H23">
        <v>20.14</v>
      </c>
      <c r="I23" t="s">
        <v>13</v>
      </c>
      <c r="J23" t="s">
        <v>13</v>
      </c>
    </row>
    <row r="24" spans="1:10" x14ac:dyDescent="0.3">
      <c r="A24">
        <v>255</v>
      </c>
      <c r="B24" t="s">
        <v>15</v>
      </c>
      <c r="C24">
        <v>3</v>
      </c>
      <c r="D24">
        <v>7</v>
      </c>
      <c r="E24">
        <v>2024</v>
      </c>
      <c r="F24" s="1">
        <v>45358</v>
      </c>
      <c r="G24" t="s">
        <v>49</v>
      </c>
      <c r="H24">
        <v>-12.49</v>
      </c>
      <c r="I24" t="s">
        <v>13</v>
      </c>
      <c r="J24" t="s">
        <v>13</v>
      </c>
    </row>
    <row r="25" spans="1:10" x14ac:dyDescent="0.3">
      <c r="A25">
        <v>183</v>
      </c>
      <c r="B25" t="s">
        <v>10</v>
      </c>
      <c r="C25">
        <v>3</v>
      </c>
      <c r="D25">
        <v>8</v>
      </c>
      <c r="E25">
        <v>2024</v>
      </c>
      <c r="F25" s="1">
        <v>45359</v>
      </c>
      <c r="G25" t="s">
        <v>21</v>
      </c>
      <c r="H25">
        <v>-110</v>
      </c>
      <c r="I25" t="s">
        <v>13</v>
      </c>
      <c r="J25" t="s">
        <v>13</v>
      </c>
    </row>
    <row r="26" spans="1:10" x14ac:dyDescent="0.3">
      <c r="A26">
        <v>184</v>
      </c>
      <c r="B26" t="s">
        <v>10</v>
      </c>
      <c r="C26">
        <v>3</v>
      </c>
      <c r="D26">
        <v>8</v>
      </c>
      <c r="E26">
        <v>2024</v>
      </c>
      <c r="F26" s="1">
        <v>45359</v>
      </c>
      <c r="G26" t="s">
        <v>22</v>
      </c>
      <c r="H26">
        <v>-95</v>
      </c>
      <c r="I26" t="s">
        <v>13</v>
      </c>
      <c r="J26" t="s">
        <v>13</v>
      </c>
    </row>
    <row r="27" spans="1:10" x14ac:dyDescent="0.3">
      <c r="A27">
        <v>185</v>
      </c>
      <c r="B27" t="s">
        <v>10</v>
      </c>
      <c r="C27">
        <v>3</v>
      </c>
      <c r="D27">
        <v>8</v>
      </c>
      <c r="E27">
        <v>2024</v>
      </c>
      <c r="F27" s="1">
        <v>45359</v>
      </c>
      <c r="G27" t="s">
        <v>23</v>
      </c>
      <c r="H27">
        <v>-21</v>
      </c>
      <c r="I27" t="s">
        <v>13</v>
      </c>
      <c r="J27" t="s">
        <v>13</v>
      </c>
    </row>
    <row r="28" spans="1:10" x14ac:dyDescent="0.3">
      <c r="A28">
        <v>186</v>
      </c>
      <c r="B28" t="s">
        <v>10</v>
      </c>
      <c r="C28">
        <v>3</v>
      </c>
      <c r="D28">
        <v>8</v>
      </c>
      <c r="E28">
        <v>2024</v>
      </c>
      <c r="F28" s="1">
        <v>45359</v>
      </c>
      <c r="G28" t="s">
        <v>24</v>
      </c>
      <c r="H28">
        <v>-34.950000000000003</v>
      </c>
      <c r="I28" t="s">
        <v>13</v>
      </c>
      <c r="J28" t="s">
        <v>13</v>
      </c>
    </row>
    <row r="29" spans="1:10" x14ac:dyDescent="0.3">
      <c r="A29">
        <v>187</v>
      </c>
      <c r="B29" t="s">
        <v>10</v>
      </c>
      <c r="C29">
        <v>3</v>
      </c>
      <c r="D29">
        <v>8</v>
      </c>
      <c r="E29">
        <v>2024</v>
      </c>
      <c r="F29" s="1">
        <v>45359</v>
      </c>
      <c r="G29" t="s">
        <v>14</v>
      </c>
      <c r="H29">
        <v>1977.85</v>
      </c>
      <c r="I29" t="s">
        <v>13</v>
      </c>
      <c r="J29" t="s">
        <v>13</v>
      </c>
    </row>
    <row r="30" spans="1:10" x14ac:dyDescent="0.3">
      <c r="A30">
        <v>231</v>
      </c>
      <c r="B30" t="s">
        <v>18</v>
      </c>
      <c r="C30">
        <v>3</v>
      </c>
      <c r="D30">
        <v>9</v>
      </c>
      <c r="E30">
        <v>2024</v>
      </c>
      <c r="F30" s="1">
        <v>45360</v>
      </c>
      <c r="G30" t="s">
        <v>31</v>
      </c>
      <c r="H30">
        <v>-11.99</v>
      </c>
      <c r="I30" t="s">
        <v>13</v>
      </c>
      <c r="J30" t="s">
        <v>13</v>
      </c>
    </row>
    <row r="31" spans="1:10" x14ac:dyDescent="0.3">
      <c r="A31">
        <v>252</v>
      </c>
      <c r="B31" t="s">
        <v>15</v>
      </c>
      <c r="C31">
        <v>3</v>
      </c>
      <c r="D31">
        <v>9</v>
      </c>
      <c r="E31">
        <v>2024</v>
      </c>
      <c r="F31" s="1">
        <v>45360</v>
      </c>
      <c r="G31" t="s">
        <v>37</v>
      </c>
      <c r="H31">
        <v>-25.66</v>
      </c>
      <c r="I31" t="s">
        <v>13</v>
      </c>
      <c r="J31" t="s">
        <v>13</v>
      </c>
    </row>
    <row r="32" spans="1:10" x14ac:dyDescent="0.3">
      <c r="A32">
        <v>253</v>
      </c>
      <c r="B32" t="s">
        <v>15</v>
      </c>
      <c r="C32">
        <v>3</v>
      </c>
      <c r="D32">
        <v>9</v>
      </c>
      <c r="E32">
        <v>2024</v>
      </c>
      <c r="F32" s="1">
        <v>45360</v>
      </c>
      <c r="G32" t="s">
        <v>16</v>
      </c>
      <c r="H32">
        <v>-81.99</v>
      </c>
      <c r="I32" t="s">
        <v>13</v>
      </c>
      <c r="J32" t="s">
        <v>13</v>
      </c>
    </row>
    <row r="33" spans="1:13" x14ac:dyDescent="0.3">
      <c r="A33">
        <v>244</v>
      </c>
      <c r="B33" t="s">
        <v>15</v>
      </c>
      <c r="C33">
        <v>3</v>
      </c>
      <c r="D33">
        <v>11</v>
      </c>
      <c r="E33">
        <v>2024</v>
      </c>
      <c r="F33" s="1">
        <v>45362</v>
      </c>
      <c r="G33" t="s">
        <v>37</v>
      </c>
      <c r="H33">
        <v>-63.68</v>
      </c>
      <c r="I33" t="s">
        <v>13</v>
      </c>
      <c r="J33" t="s">
        <v>13</v>
      </c>
      <c r="M33" t="s">
        <v>54</v>
      </c>
    </row>
    <row r="34" spans="1:13" x14ac:dyDescent="0.3">
      <c r="A34">
        <v>245</v>
      </c>
      <c r="B34" t="s">
        <v>15</v>
      </c>
      <c r="C34">
        <v>3</v>
      </c>
      <c r="D34">
        <v>11</v>
      </c>
      <c r="E34">
        <v>2024</v>
      </c>
      <c r="F34" s="1">
        <v>45362</v>
      </c>
      <c r="G34" t="s">
        <v>43</v>
      </c>
      <c r="H34">
        <v>-75</v>
      </c>
      <c r="I34" t="s">
        <v>13</v>
      </c>
      <c r="J34" t="s">
        <v>13</v>
      </c>
    </row>
    <row r="35" spans="1:13" x14ac:dyDescent="0.3">
      <c r="A35">
        <v>246</v>
      </c>
      <c r="B35" t="s">
        <v>15</v>
      </c>
      <c r="C35">
        <v>3</v>
      </c>
      <c r="D35">
        <v>11</v>
      </c>
      <c r="E35">
        <v>2024</v>
      </c>
      <c r="F35" s="1">
        <v>45362</v>
      </c>
      <c r="G35" t="s">
        <v>44</v>
      </c>
      <c r="H35">
        <v>-14</v>
      </c>
      <c r="I35" t="s">
        <v>13</v>
      </c>
      <c r="J35" t="s">
        <v>13</v>
      </c>
    </row>
    <row r="36" spans="1:13" x14ac:dyDescent="0.3">
      <c r="A36">
        <v>247</v>
      </c>
      <c r="B36" t="s">
        <v>15</v>
      </c>
      <c r="C36">
        <v>3</v>
      </c>
      <c r="D36">
        <v>11</v>
      </c>
      <c r="E36">
        <v>2024</v>
      </c>
      <c r="F36" s="1">
        <v>45362</v>
      </c>
      <c r="G36" t="s">
        <v>45</v>
      </c>
      <c r="H36">
        <v>-5</v>
      </c>
      <c r="I36" t="s">
        <v>13</v>
      </c>
      <c r="J36" t="s">
        <v>13</v>
      </c>
    </row>
    <row r="37" spans="1:13" x14ac:dyDescent="0.3">
      <c r="A37">
        <v>248</v>
      </c>
      <c r="B37" t="s">
        <v>15</v>
      </c>
      <c r="C37">
        <v>3</v>
      </c>
      <c r="D37">
        <v>11</v>
      </c>
      <c r="E37">
        <v>2024</v>
      </c>
      <c r="F37" s="1">
        <v>45362</v>
      </c>
      <c r="G37" t="s">
        <v>36</v>
      </c>
      <c r="H37">
        <v>-30.37</v>
      </c>
      <c r="I37" t="s">
        <v>13</v>
      </c>
      <c r="J37" t="s">
        <v>13</v>
      </c>
    </row>
    <row r="38" spans="1:13" x14ac:dyDescent="0.3">
      <c r="A38">
        <v>249</v>
      </c>
      <c r="B38" t="s">
        <v>15</v>
      </c>
      <c r="C38">
        <v>3</v>
      </c>
      <c r="D38">
        <v>11</v>
      </c>
      <c r="E38">
        <v>2024</v>
      </c>
      <c r="F38" s="1">
        <v>45362</v>
      </c>
      <c r="G38" t="s">
        <v>46</v>
      </c>
      <c r="H38">
        <v>-60.84</v>
      </c>
      <c r="I38" t="s">
        <v>13</v>
      </c>
      <c r="J38" t="s">
        <v>13</v>
      </c>
    </row>
    <row r="39" spans="1:13" x14ac:dyDescent="0.3">
      <c r="A39">
        <v>250</v>
      </c>
      <c r="B39" t="s">
        <v>15</v>
      </c>
      <c r="C39">
        <v>3</v>
      </c>
      <c r="D39">
        <v>11</v>
      </c>
      <c r="E39">
        <v>2024</v>
      </c>
      <c r="F39" s="1">
        <v>45362</v>
      </c>
      <c r="G39" t="s">
        <v>47</v>
      </c>
      <c r="H39">
        <v>-21.05</v>
      </c>
      <c r="I39" t="s">
        <v>13</v>
      </c>
      <c r="J39" t="s">
        <v>13</v>
      </c>
    </row>
    <row r="40" spans="1:13" x14ac:dyDescent="0.3">
      <c r="A40">
        <v>251</v>
      </c>
      <c r="B40" t="s">
        <v>15</v>
      </c>
      <c r="C40">
        <v>3</v>
      </c>
      <c r="D40">
        <v>11</v>
      </c>
      <c r="E40">
        <v>2024</v>
      </c>
      <c r="F40" s="1">
        <v>45362</v>
      </c>
      <c r="G40" t="s">
        <v>48</v>
      </c>
      <c r="H40">
        <v>-80</v>
      </c>
      <c r="I40" t="s">
        <v>13</v>
      </c>
      <c r="J40" t="s">
        <v>13</v>
      </c>
    </row>
    <row r="41" spans="1:13" x14ac:dyDescent="0.3">
      <c r="A41">
        <v>182</v>
      </c>
      <c r="B41" t="s">
        <v>10</v>
      </c>
      <c r="C41">
        <v>3</v>
      </c>
      <c r="D41">
        <v>12</v>
      </c>
      <c r="E41">
        <v>2024</v>
      </c>
      <c r="F41" s="1">
        <v>45363</v>
      </c>
      <c r="G41" t="s">
        <v>20</v>
      </c>
      <c r="H41">
        <v>-35</v>
      </c>
      <c r="I41" t="s">
        <v>13</v>
      </c>
      <c r="J41" t="s">
        <v>13</v>
      </c>
    </row>
    <row r="42" spans="1:13" x14ac:dyDescent="0.3">
      <c r="A42">
        <v>232</v>
      </c>
      <c r="B42" t="s">
        <v>18</v>
      </c>
      <c r="C42">
        <v>3</v>
      </c>
      <c r="D42">
        <v>12</v>
      </c>
      <c r="E42">
        <v>2024</v>
      </c>
      <c r="F42" s="1">
        <v>45363</v>
      </c>
      <c r="G42" t="s">
        <v>32</v>
      </c>
      <c r="H42">
        <v>-9.99</v>
      </c>
      <c r="I42" t="s">
        <v>13</v>
      </c>
      <c r="J42" t="s">
        <v>13</v>
      </c>
    </row>
    <row r="43" spans="1:13" x14ac:dyDescent="0.3">
      <c r="A43">
        <v>243</v>
      </c>
      <c r="B43" t="s">
        <v>15</v>
      </c>
      <c r="C43">
        <v>3</v>
      </c>
      <c r="D43">
        <v>12</v>
      </c>
      <c r="E43">
        <v>2024</v>
      </c>
      <c r="F43" s="1">
        <v>45363</v>
      </c>
      <c r="G43" t="s">
        <v>42</v>
      </c>
      <c r="H43">
        <v>-10</v>
      </c>
      <c r="I43" t="s">
        <v>13</v>
      </c>
      <c r="J43" t="s">
        <v>13</v>
      </c>
    </row>
    <row r="44" spans="1:13" x14ac:dyDescent="0.3">
      <c r="A44">
        <v>242</v>
      </c>
      <c r="B44" t="s">
        <v>15</v>
      </c>
      <c r="C44">
        <v>3</v>
      </c>
      <c r="D44">
        <v>13</v>
      </c>
      <c r="E44">
        <v>2024</v>
      </c>
      <c r="F44" s="1">
        <v>45364</v>
      </c>
      <c r="G44" t="s">
        <v>41</v>
      </c>
      <c r="H44">
        <v>-56.84</v>
      </c>
      <c r="I44" t="s">
        <v>13</v>
      </c>
      <c r="J44" t="s">
        <v>13</v>
      </c>
    </row>
    <row r="45" spans="1:13" x14ac:dyDescent="0.3">
      <c r="A45">
        <v>181</v>
      </c>
      <c r="B45" t="s">
        <v>10</v>
      </c>
      <c r="C45">
        <v>3</v>
      </c>
      <c r="D45">
        <v>14</v>
      </c>
      <c r="E45">
        <v>2024</v>
      </c>
      <c r="F45" s="1">
        <v>45365</v>
      </c>
      <c r="G45" t="s">
        <v>19</v>
      </c>
      <c r="H45">
        <v>-78.040000000000006</v>
      </c>
      <c r="I45" t="s">
        <v>13</v>
      </c>
      <c r="J45" t="s">
        <v>13</v>
      </c>
    </row>
    <row r="46" spans="1:13" x14ac:dyDescent="0.3">
      <c r="A46">
        <v>236</v>
      </c>
      <c r="B46" t="s">
        <v>15</v>
      </c>
      <c r="C46">
        <v>3</v>
      </c>
      <c r="D46">
        <v>14</v>
      </c>
      <c r="E46">
        <v>2024</v>
      </c>
      <c r="F46" s="1">
        <v>45365</v>
      </c>
      <c r="G46" t="s">
        <v>36</v>
      </c>
      <c r="H46">
        <v>-8.49</v>
      </c>
      <c r="I46" t="s">
        <v>13</v>
      </c>
      <c r="J46" t="s">
        <v>13</v>
      </c>
    </row>
    <row r="47" spans="1:13" x14ac:dyDescent="0.3">
      <c r="A47">
        <v>237</v>
      </c>
      <c r="B47" t="s">
        <v>15</v>
      </c>
      <c r="C47">
        <v>3</v>
      </c>
      <c r="D47">
        <v>14</v>
      </c>
      <c r="E47">
        <v>2024</v>
      </c>
      <c r="F47" s="1">
        <v>45365</v>
      </c>
      <c r="G47" t="s">
        <v>36</v>
      </c>
      <c r="H47">
        <v>-9.0299999999999994</v>
      </c>
      <c r="I47" t="s">
        <v>13</v>
      </c>
      <c r="J47" t="s">
        <v>13</v>
      </c>
    </row>
    <row r="48" spans="1:13" x14ac:dyDescent="0.3">
      <c r="A48">
        <v>238</v>
      </c>
      <c r="B48" t="s">
        <v>15</v>
      </c>
      <c r="C48">
        <v>3</v>
      </c>
      <c r="D48">
        <v>14</v>
      </c>
      <c r="E48">
        <v>2024</v>
      </c>
      <c r="F48" s="1">
        <v>45365</v>
      </c>
      <c r="G48" t="s">
        <v>37</v>
      </c>
      <c r="H48">
        <v>-21.46</v>
      </c>
      <c r="I48" t="s">
        <v>13</v>
      </c>
      <c r="J48" t="s">
        <v>13</v>
      </c>
    </row>
    <row r="49" spans="1:10" x14ac:dyDescent="0.3">
      <c r="A49">
        <v>239</v>
      </c>
      <c r="B49" t="s">
        <v>15</v>
      </c>
      <c r="C49">
        <v>3</v>
      </c>
      <c r="D49">
        <v>14</v>
      </c>
      <c r="E49">
        <v>2024</v>
      </c>
      <c r="F49" s="1">
        <v>45365</v>
      </c>
      <c r="G49" t="s">
        <v>38</v>
      </c>
      <c r="H49">
        <v>-91.49</v>
      </c>
      <c r="I49" t="s">
        <v>13</v>
      </c>
      <c r="J49" t="s">
        <v>13</v>
      </c>
    </row>
    <row r="50" spans="1:10" x14ac:dyDescent="0.3">
      <c r="A50">
        <v>240</v>
      </c>
      <c r="B50" t="s">
        <v>15</v>
      </c>
      <c r="C50">
        <v>3</v>
      </c>
      <c r="D50">
        <v>14</v>
      </c>
      <c r="E50">
        <v>2024</v>
      </c>
      <c r="F50" s="1">
        <v>45365</v>
      </c>
      <c r="G50" t="s">
        <v>39</v>
      </c>
      <c r="H50">
        <v>-21.28</v>
      </c>
      <c r="I50" t="s">
        <v>13</v>
      </c>
      <c r="J50" t="s">
        <v>13</v>
      </c>
    </row>
    <row r="51" spans="1:10" x14ac:dyDescent="0.3">
      <c r="A51">
        <v>241</v>
      </c>
      <c r="B51" t="s">
        <v>15</v>
      </c>
      <c r="C51">
        <v>3</v>
      </c>
      <c r="D51">
        <v>14</v>
      </c>
      <c r="E51">
        <v>2024</v>
      </c>
      <c r="F51" s="1">
        <v>45365</v>
      </c>
      <c r="G51" t="s">
        <v>40</v>
      </c>
      <c r="H51">
        <v>-14.95</v>
      </c>
      <c r="I51" t="s">
        <v>13</v>
      </c>
      <c r="J51" t="s">
        <v>13</v>
      </c>
    </row>
    <row r="52" spans="1:10" x14ac:dyDescent="0.3">
      <c r="A52">
        <v>233</v>
      </c>
      <c r="B52" t="s">
        <v>15</v>
      </c>
      <c r="C52">
        <v>3</v>
      </c>
      <c r="D52">
        <v>16</v>
      </c>
      <c r="E52">
        <v>2024</v>
      </c>
      <c r="F52" s="1">
        <v>45367</v>
      </c>
      <c r="G52" t="s">
        <v>33</v>
      </c>
      <c r="H52">
        <v>-48.35</v>
      </c>
      <c r="I52" t="s">
        <v>13</v>
      </c>
      <c r="J52" t="s">
        <v>13</v>
      </c>
    </row>
    <row r="53" spans="1:10" x14ac:dyDescent="0.3">
      <c r="A53">
        <v>234</v>
      </c>
      <c r="B53" t="s">
        <v>15</v>
      </c>
      <c r="C53">
        <v>3</v>
      </c>
      <c r="D53">
        <v>16</v>
      </c>
      <c r="E53">
        <v>2024</v>
      </c>
      <c r="F53" s="1">
        <v>45367</v>
      </c>
      <c r="G53" t="s">
        <v>34</v>
      </c>
      <c r="H53">
        <v>-19.61</v>
      </c>
      <c r="I53" t="s">
        <v>13</v>
      </c>
      <c r="J53" t="s">
        <v>13</v>
      </c>
    </row>
    <row r="54" spans="1:10" x14ac:dyDescent="0.3">
      <c r="A54">
        <v>235</v>
      </c>
      <c r="B54" t="s">
        <v>15</v>
      </c>
      <c r="C54">
        <v>3</v>
      </c>
      <c r="D54">
        <v>16</v>
      </c>
      <c r="E54">
        <v>2024</v>
      </c>
      <c r="F54" s="1">
        <v>45367</v>
      </c>
      <c r="G54" t="s">
        <v>35</v>
      </c>
      <c r="H54">
        <v>-19.18</v>
      </c>
      <c r="I54" t="s">
        <v>13</v>
      </c>
      <c r="J54" t="s">
        <v>13</v>
      </c>
    </row>
  </sheetData>
  <sortState xmlns:xlrd2="http://schemas.microsoft.com/office/spreadsheetml/2017/richdata2" ref="A2:J54">
    <sortCondition ref="D2:D54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8"/>
  <sheetViews>
    <sheetView topLeftCell="I1" zoomScale="199" workbookViewId="0">
      <selection activeCell="A59" sqref="A59"/>
    </sheetView>
  </sheetViews>
  <sheetFormatPr defaultRowHeight="14.4" x14ac:dyDescent="0.3"/>
  <cols>
    <col min="1" max="1" width="9.33203125" style="1" bestFit="1" customWidth="1"/>
    <col min="2" max="2" width="66.5546875" bestFit="1" customWidth="1"/>
    <col min="10" max="10" width="9.33203125" bestFit="1" customWidth="1"/>
  </cols>
  <sheetData>
    <row r="1" spans="1:12" x14ac:dyDescent="0.3">
      <c r="A1" s="1" t="s">
        <v>5</v>
      </c>
      <c r="B1" t="s">
        <v>95</v>
      </c>
      <c r="C1" t="s">
        <v>7</v>
      </c>
    </row>
    <row r="2" spans="1:12" x14ac:dyDescent="0.3">
      <c r="A2" s="3">
        <v>45352</v>
      </c>
      <c r="B2" s="2" t="s">
        <v>55</v>
      </c>
      <c r="C2" s="2">
        <v>-900</v>
      </c>
      <c r="J2" s="1">
        <v>45352</v>
      </c>
      <c r="K2">
        <f>SUMIF(A:A,$J2,C:C)</f>
        <v>-951.09</v>
      </c>
      <c r="L2">
        <f>K2</f>
        <v>-951.09</v>
      </c>
    </row>
    <row r="3" spans="1:12" x14ac:dyDescent="0.3">
      <c r="A3" s="3">
        <v>45352</v>
      </c>
      <c r="B3" s="2" t="s">
        <v>56</v>
      </c>
      <c r="C3" s="2">
        <v>-1000</v>
      </c>
      <c r="J3" s="1">
        <v>45353</v>
      </c>
      <c r="K3">
        <f t="shared" ref="K3:K16" si="0">SUMIF(A:A,$J3,C:C)</f>
        <v>-26.869999999999997</v>
      </c>
      <c r="L3">
        <f>K3+K2</f>
        <v>-977.96</v>
      </c>
    </row>
    <row r="4" spans="1:12" x14ac:dyDescent="0.3">
      <c r="A4" s="3">
        <v>45352</v>
      </c>
      <c r="B4" s="2" t="s">
        <v>57</v>
      </c>
      <c r="C4" s="2">
        <v>-250</v>
      </c>
      <c r="J4" s="1">
        <v>45354</v>
      </c>
      <c r="K4">
        <f t="shared" si="0"/>
        <v>-29.020000000000003</v>
      </c>
      <c r="L4">
        <f>K4+L3</f>
        <v>-1006.98</v>
      </c>
    </row>
    <row r="5" spans="1:12" x14ac:dyDescent="0.3">
      <c r="A5" s="3">
        <v>45352</v>
      </c>
      <c r="B5" s="2" t="s">
        <v>62</v>
      </c>
      <c r="C5" s="2">
        <v>-20</v>
      </c>
      <c r="J5" s="1">
        <v>45355</v>
      </c>
      <c r="K5">
        <f t="shared" si="0"/>
        <v>-818.16</v>
      </c>
      <c r="L5">
        <f t="shared" ref="L5:L16" si="1">K5+L4</f>
        <v>-1825.1399999999999</v>
      </c>
    </row>
    <row r="6" spans="1:12" x14ac:dyDescent="0.3">
      <c r="A6" s="3">
        <v>45352</v>
      </c>
      <c r="B6" s="2" t="s">
        <v>63</v>
      </c>
      <c r="C6" s="2">
        <v>1000</v>
      </c>
      <c r="J6" s="1">
        <v>45356</v>
      </c>
      <c r="K6">
        <f t="shared" si="0"/>
        <v>-69.789999999999992</v>
      </c>
      <c r="L6">
        <f t="shared" si="1"/>
        <v>-1894.9299999999998</v>
      </c>
    </row>
    <row r="7" spans="1:12" x14ac:dyDescent="0.3">
      <c r="A7" s="3">
        <v>45352</v>
      </c>
      <c r="B7" s="2" t="s">
        <v>64</v>
      </c>
      <c r="C7" s="2">
        <v>900</v>
      </c>
      <c r="J7" s="1">
        <v>45357</v>
      </c>
      <c r="K7">
        <f t="shared" si="0"/>
        <v>-64.239999999999995</v>
      </c>
      <c r="L7">
        <f t="shared" si="1"/>
        <v>-1959.1699999999998</v>
      </c>
    </row>
    <row r="8" spans="1:12" x14ac:dyDescent="0.3">
      <c r="A8" s="3">
        <v>45352</v>
      </c>
      <c r="B8" s="2" t="s">
        <v>65</v>
      </c>
      <c r="C8" s="2">
        <v>250</v>
      </c>
      <c r="J8" s="1">
        <v>45358</v>
      </c>
      <c r="K8">
        <f t="shared" si="0"/>
        <v>-219.77999999999997</v>
      </c>
      <c r="L8">
        <f t="shared" si="1"/>
        <v>-2178.9499999999998</v>
      </c>
    </row>
    <row r="9" spans="1:12" x14ac:dyDescent="0.3">
      <c r="A9" s="3">
        <v>45352</v>
      </c>
      <c r="B9" s="2" t="s">
        <v>66</v>
      </c>
      <c r="C9" s="2">
        <v>-904</v>
      </c>
      <c r="J9" s="1">
        <v>45359</v>
      </c>
      <c r="K9">
        <f t="shared" si="0"/>
        <v>1973.2799999999997</v>
      </c>
      <c r="L9">
        <f t="shared" si="1"/>
        <v>-205.67000000000007</v>
      </c>
    </row>
    <row r="10" spans="1:12" x14ac:dyDescent="0.3">
      <c r="A10" s="1">
        <v>45352</v>
      </c>
      <c r="B10" t="s">
        <v>94</v>
      </c>
      <c r="C10">
        <v>-27.09</v>
      </c>
      <c r="J10" s="1">
        <v>45360</v>
      </c>
      <c r="K10">
        <f t="shared" si="0"/>
        <v>-43.76</v>
      </c>
      <c r="L10">
        <f t="shared" si="1"/>
        <v>-249.43000000000006</v>
      </c>
    </row>
    <row r="11" spans="1:12" x14ac:dyDescent="0.3">
      <c r="A11" s="3">
        <v>45353</v>
      </c>
      <c r="B11" s="2" t="s">
        <v>84</v>
      </c>
      <c r="C11" s="2">
        <v>-11.25</v>
      </c>
      <c r="D11" t="s">
        <v>15</v>
      </c>
      <c r="J11" s="1">
        <v>45361</v>
      </c>
      <c r="K11">
        <f t="shared" si="0"/>
        <v>-89.5</v>
      </c>
      <c r="L11">
        <f t="shared" si="1"/>
        <v>-338.93000000000006</v>
      </c>
    </row>
    <row r="12" spans="1:12" x14ac:dyDescent="0.3">
      <c r="A12" s="3">
        <v>45353</v>
      </c>
      <c r="B12" s="2" t="s">
        <v>85</v>
      </c>
      <c r="C12" s="2">
        <v>-15.62</v>
      </c>
      <c r="D12" t="s">
        <v>15</v>
      </c>
      <c r="J12" s="1">
        <v>45362</v>
      </c>
      <c r="K12">
        <f t="shared" si="0"/>
        <v>902.38</v>
      </c>
      <c r="L12">
        <f t="shared" si="1"/>
        <v>563.44999999999993</v>
      </c>
    </row>
    <row r="13" spans="1:12" x14ac:dyDescent="0.3">
      <c r="A13" s="3">
        <v>45354</v>
      </c>
      <c r="B13" s="2" t="s">
        <v>47</v>
      </c>
      <c r="C13" s="2">
        <v>-7.49</v>
      </c>
      <c r="J13" s="1">
        <v>45363</v>
      </c>
      <c r="K13">
        <f t="shared" si="0"/>
        <v>-2310.5700000000002</v>
      </c>
      <c r="L13">
        <f t="shared" si="1"/>
        <v>-1747.1200000000003</v>
      </c>
    </row>
    <row r="14" spans="1:12" x14ac:dyDescent="0.3">
      <c r="A14" s="3">
        <v>45354</v>
      </c>
      <c r="B14" s="2" t="s">
        <v>86</v>
      </c>
      <c r="C14" s="2">
        <v>-21.53</v>
      </c>
      <c r="J14" s="1">
        <v>45364</v>
      </c>
      <c r="K14">
        <f t="shared" si="0"/>
        <v>-443.24</v>
      </c>
      <c r="L14">
        <f t="shared" si="1"/>
        <v>-2190.3600000000006</v>
      </c>
    </row>
    <row r="15" spans="1:12" x14ac:dyDescent="0.3">
      <c r="A15" s="3">
        <v>45355</v>
      </c>
      <c r="B15" s="2" t="s">
        <v>67</v>
      </c>
      <c r="C15" s="2">
        <v>898</v>
      </c>
      <c r="J15" s="1">
        <v>45365</v>
      </c>
      <c r="K15">
        <f t="shared" si="0"/>
        <v>43.59</v>
      </c>
      <c r="L15">
        <f t="shared" si="1"/>
        <v>-2146.7700000000004</v>
      </c>
    </row>
    <row r="16" spans="1:12" x14ac:dyDescent="0.3">
      <c r="A16" s="3">
        <v>45355</v>
      </c>
      <c r="B16" s="2" t="s">
        <v>68</v>
      </c>
      <c r="C16" s="2">
        <v>-1652.48</v>
      </c>
      <c r="J16" s="1">
        <v>45367</v>
      </c>
      <c r="K16">
        <f t="shared" si="0"/>
        <v>-366.26</v>
      </c>
      <c r="L16">
        <f t="shared" si="1"/>
        <v>-2513.0300000000007</v>
      </c>
    </row>
    <row r="17" spans="1:4" x14ac:dyDescent="0.3">
      <c r="A17" s="3">
        <v>45355</v>
      </c>
      <c r="B17" s="2" t="s">
        <v>91</v>
      </c>
      <c r="C17" s="2">
        <v>-26.37</v>
      </c>
    </row>
    <row r="18" spans="1:4" x14ac:dyDescent="0.3">
      <c r="A18" s="3">
        <v>45355</v>
      </c>
      <c r="B18" s="2" t="s">
        <v>92</v>
      </c>
      <c r="C18" s="2">
        <v>-8.31</v>
      </c>
    </row>
    <row r="19" spans="1:4" x14ac:dyDescent="0.3">
      <c r="A19" s="3">
        <v>45355</v>
      </c>
      <c r="B19" s="2" t="s">
        <v>93</v>
      </c>
      <c r="C19" s="2">
        <v>-29</v>
      </c>
    </row>
    <row r="20" spans="1:4" x14ac:dyDescent="0.3">
      <c r="A20" s="3">
        <v>45356</v>
      </c>
      <c r="B20" s="2" t="s">
        <v>36</v>
      </c>
      <c r="C20" s="2">
        <v>-31.63</v>
      </c>
      <c r="D20" t="s">
        <v>15</v>
      </c>
    </row>
    <row r="21" spans="1:4" x14ac:dyDescent="0.3">
      <c r="A21" s="3">
        <v>45356</v>
      </c>
      <c r="B21" s="2" t="s">
        <v>77</v>
      </c>
      <c r="C21" s="2">
        <v>-22.99</v>
      </c>
      <c r="D21" t="s">
        <v>15</v>
      </c>
    </row>
    <row r="22" spans="1:4" x14ac:dyDescent="0.3">
      <c r="A22" s="3">
        <v>45356</v>
      </c>
      <c r="B22" s="2" t="s">
        <v>90</v>
      </c>
      <c r="C22" s="2">
        <v>-15.17</v>
      </c>
    </row>
    <row r="23" spans="1:4" x14ac:dyDescent="0.3">
      <c r="A23" s="3">
        <v>45357</v>
      </c>
      <c r="B23" s="2" t="s">
        <v>83</v>
      </c>
      <c r="C23" s="2">
        <v>-34.5</v>
      </c>
      <c r="D23" t="s">
        <v>15</v>
      </c>
    </row>
    <row r="24" spans="1:4" x14ac:dyDescent="0.3">
      <c r="A24" s="3">
        <v>45357</v>
      </c>
      <c r="B24" s="2" t="s">
        <v>36</v>
      </c>
      <c r="C24" s="2">
        <v>-29.74</v>
      </c>
    </row>
    <row r="25" spans="1:4" x14ac:dyDescent="0.3">
      <c r="A25" s="3">
        <v>45358</v>
      </c>
      <c r="B25" s="2" t="s">
        <v>82</v>
      </c>
      <c r="C25" s="2">
        <v>-20.59</v>
      </c>
      <c r="D25" t="s">
        <v>15</v>
      </c>
    </row>
    <row r="26" spans="1:4" x14ac:dyDescent="0.3">
      <c r="A26" s="3">
        <v>45358</v>
      </c>
      <c r="B26" s="2" t="s">
        <v>77</v>
      </c>
      <c r="C26" s="2">
        <v>-9.99</v>
      </c>
      <c r="D26" t="s">
        <v>15</v>
      </c>
    </row>
    <row r="27" spans="1:4" x14ac:dyDescent="0.3">
      <c r="A27" s="3">
        <v>45358</v>
      </c>
      <c r="B27" s="2" t="s">
        <v>89</v>
      </c>
      <c r="C27" s="2">
        <v>-189.2</v>
      </c>
    </row>
    <row r="28" spans="1:4" x14ac:dyDescent="0.3">
      <c r="A28" s="3">
        <v>45359</v>
      </c>
      <c r="B28" s="2" t="s">
        <v>58</v>
      </c>
      <c r="C28" s="2">
        <v>1919.86</v>
      </c>
    </row>
    <row r="29" spans="1:4" x14ac:dyDescent="0.3">
      <c r="A29" s="3">
        <v>45359</v>
      </c>
      <c r="B29" s="2" t="s">
        <v>67</v>
      </c>
      <c r="C29" s="2">
        <v>97.1</v>
      </c>
    </row>
    <row r="30" spans="1:4" x14ac:dyDescent="0.3">
      <c r="A30" s="3">
        <v>45359</v>
      </c>
      <c r="B30" s="2" t="s">
        <v>86</v>
      </c>
      <c r="C30" s="2">
        <v>-43.68</v>
      </c>
    </row>
    <row r="31" spans="1:4" x14ac:dyDescent="0.3">
      <c r="A31" s="3">
        <v>45360</v>
      </c>
      <c r="B31" s="2" t="s">
        <v>36</v>
      </c>
      <c r="C31" s="2">
        <v>-29.47</v>
      </c>
      <c r="D31" t="s">
        <v>15</v>
      </c>
    </row>
    <row r="32" spans="1:4" x14ac:dyDescent="0.3">
      <c r="A32" s="3">
        <v>45360</v>
      </c>
      <c r="B32" s="2" t="s">
        <v>81</v>
      </c>
      <c r="C32" s="2">
        <v>-14.29</v>
      </c>
      <c r="D32" t="s">
        <v>15</v>
      </c>
    </row>
    <row r="33" spans="1:4" x14ac:dyDescent="0.3">
      <c r="A33" s="3">
        <v>45361</v>
      </c>
      <c r="B33" s="2" t="s">
        <v>59</v>
      </c>
      <c r="C33" s="2">
        <v>-1100</v>
      </c>
    </row>
    <row r="34" spans="1:4" x14ac:dyDescent="0.3">
      <c r="A34" s="3">
        <v>45361</v>
      </c>
      <c r="B34" s="2" t="s">
        <v>69</v>
      </c>
      <c r="C34" s="2">
        <v>1100</v>
      </c>
    </row>
    <row r="35" spans="1:4" x14ac:dyDescent="0.3">
      <c r="A35" s="3">
        <v>45361</v>
      </c>
      <c r="B35" s="2" t="s">
        <v>87</v>
      </c>
      <c r="C35" s="2">
        <v>-5.99</v>
      </c>
    </row>
    <row r="36" spans="1:4" x14ac:dyDescent="0.3">
      <c r="A36" s="3">
        <v>45361</v>
      </c>
      <c r="B36" s="2" t="s">
        <v>86</v>
      </c>
      <c r="C36" s="2">
        <v>-50.28</v>
      </c>
    </row>
    <row r="37" spans="1:4" x14ac:dyDescent="0.3">
      <c r="A37" s="3">
        <v>45361</v>
      </c>
      <c r="B37" s="2" t="s">
        <v>36</v>
      </c>
      <c r="C37" s="2">
        <v>-23.86</v>
      </c>
    </row>
    <row r="38" spans="1:4" x14ac:dyDescent="0.3">
      <c r="A38" s="3">
        <v>45361</v>
      </c>
      <c r="B38" s="2" t="s">
        <v>88</v>
      </c>
      <c r="C38" s="2">
        <v>-9.3699999999999992</v>
      </c>
    </row>
    <row r="39" spans="1:4" x14ac:dyDescent="0.3">
      <c r="A39" s="3">
        <v>45362</v>
      </c>
      <c r="B39" s="2" t="s">
        <v>70</v>
      </c>
      <c r="C39" s="2">
        <v>-387.08</v>
      </c>
    </row>
    <row r="40" spans="1:4" x14ac:dyDescent="0.3">
      <c r="A40" s="3">
        <v>45362</v>
      </c>
      <c r="B40" s="2" t="s">
        <v>79</v>
      </c>
      <c r="C40" s="4">
        <v>1332.28</v>
      </c>
      <c r="D40" t="s">
        <v>15</v>
      </c>
    </row>
    <row r="41" spans="1:4" x14ac:dyDescent="0.3">
      <c r="A41" s="3">
        <v>45362</v>
      </c>
      <c r="B41" s="2" t="s">
        <v>80</v>
      </c>
      <c r="C41" s="2">
        <v>-42.82</v>
      </c>
      <c r="D41" t="s">
        <v>15</v>
      </c>
    </row>
    <row r="42" spans="1:4" x14ac:dyDescent="0.3">
      <c r="A42" s="3">
        <v>45363</v>
      </c>
      <c r="B42" s="2" t="s">
        <v>60</v>
      </c>
      <c r="C42" s="2">
        <v>-500</v>
      </c>
    </row>
    <row r="43" spans="1:4" x14ac:dyDescent="0.3">
      <c r="A43" s="3">
        <v>45363</v>
      </c>
      <c r="B43" s="2" t="s">
        <v>67</v>
      </c>
      <c r="C43" s="2">
        <v>65</v>
      </c>
    </row>
    <row r="44" spans="1:4" x14ac:dyDescent="0.3">
      <c r="A44" s="3">
        <v>45363</v>
      </c>
      <c r="B44" s="2" t="s">
        <v>71</v>
      </c>
      <c r="C44" s="2">
        <v>-443.24</v>
      </c>
    </row>
    <row r="45" spans="1:4" x14ac:dyDescent="0.3">
      <c r="A45" s="3">
        <v>45363</v>
      </c>
      <c r="B45" s="2" t="s">
        <v>72</v>
      </c>
      <c r="C45" s="2">
        <v>-1332.28</v>
      </c>
    </row>
    <row r="46" spans="1:4" x14ac:dyDescent="0.3">
      <c r="A46" s="3">
        <v>45363</v>
      </c>
      <c r="B46" s="2" t="s">
        <v>73</v>
      </c>
      <c r="C46" s="2">
        <v>500</v>
      </c>
    </row>
    <row r="47" spans="1:4" x14ac:dyDescent="0.3">
      <c r="A47" s="3">
        <v>45363</v>
      </c>
      <c r="B47" s="2" t="s">
        <v>76</v>
      </c>
      <c r="C47" s="2">
        <v>-131.91999999999999</v>
      </c>
      <c r="D47" t="s">
        <v>15</v>
      </c>
    </row>
    <row r="48" spans="1:4" x14ac:dyDescent="0.3">
      <c r="A48" s="3">
        <v>45363</v>
      </c>
      <c r="B48" s="2" t="s">
        <v>77</v>
      </c>
      <c r="C48" s="2">
        <v>-119.99</v>
      </c>
      <c r="D48" t="s">
        <v>15</v>
      </c>
    </row>
    <row r="49" spans="1:4" x14ac:dyDescent="0.3">
      <c r="A49" s="3">
        <v>45363</v>
      </c>
      <c r="B49" s="2" t="s">
        <v>35</v>
      </c>
      <c r="C49" s="2">
        <v>-39.64</v>
      </c>
      <c r="D49" t="s">
        <v>15</v>
      </c>
    </row>
    <row r="50" spans="1:4" x14ac:dyDescent="0.3">
      <c r="A50" s="3">
        <v>45363</v>
      </c>
      <c r="B50" s="2" t="s">
        <v>78</v>
      </c>
      <c r="C50" s="2">
        <v>-225</v>
      </c>
      <c r="D50" t="s">
        <v>15</v>
      </c>
    </row>
    <row r="51" spans="1:4" x14ac:dyDescent="0.3">
      <c r="A51" s="3">
        <v>45363</v>
      </c>
      <c r="B51" s="2" t="s">
        <v>36</v>
      </c>
      <c r="C51" s="2">
        <v>-23.86</v>
      </c>
    </row>
    <row r="52" spans="1:4" x14ac:dyDescent="0.3">
      <c r="A52" s="3">
        <v>45363</v>
      </c>
      <c r="B52" s="2" t="s">
        <v>86</v>
      </c>
      <c r="C52" s="2">
        <v>-59.64</v>
      </c>
    </row>
    <row r="53" spans="1:4" x14ac:dyDescent="0.3">
      <c r="A53" s="3">
        <v>45364</v>
      </c>
      <c r="B53" s="2" t="s">
        <v>71</v>
      </c>
      <c r="C53" s="2">
        <v>-443.24</v>
      </c>
    </row>
    <row r="54" spans="1:4" x14ac:dyDescent="0.3">
      <c r="A54" s="3">
        <v>45365</v>
      </c>
      <c r="B54" s="2" t="s">
        <v>61</v>
      </c>
      <c r="C54" s="2">
        <v>79</v>
      </c>
    </row>
    <row r="55" spans="1:4" x14ac:dyDescent="0.3">
      <c r="A55" s="3">
        <v>45365</v>
      </c>
      <c r="B55" s="2" t="s">
        <v>75</v>
      </c>
      <c r="C55" s="2">
        <v>-35.409999999999997</v>
      </c>
      <c r="D55" t="s">
        <v>15</v>
      </c>
    </row>
    <row r="56" spans="1:4" x14ac:dyDescent="0.3">
      <c r="A56" s="3">
        <v>45367</v>
      </c>
      <c r="B56" s="2" t="s">
        <v>74</v>
      </c>
      <c r="C56" s="2">
        <v>-366.26</v>
      </c>
      <c r="D56" t="s">
        <v>15</v>
      </c>
    </row>
    <row r="58" spans="1:4" x14ac:dyDescent="0.3">
      <c r="A58" s="1" t="s">
        <v>96</v>
      </c>
      <c r="C58">
        <v>-43.48</v>
      </c>
    </row>
  </sheetData>
  <sortState xmlns:xlrd2="http://schemas.microsoft.com/office/spreadsheetml/2017/richdata2" ref="A2:D56">
    <sortCondition ref="A2:A56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Plot_This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Ryan Kirkendall</cp:lastModifiedBy>
  <dcterms:created xsi:type="dcterms:W3CDTF">2024-03-17T22:51:39Z</dcterms:created>
  <dcterms:modified xsi:type="dcterms:W3CDTF">2024-03-18T18:11:05Z</dcterms:modified>
</cp:coreProperties>
</file>