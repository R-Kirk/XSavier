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min\Documents\Coding_Python\Budget_App\Rev_3_Import_CSV\Test Data\March\"/>
    </mc:Choice>
  </mc:AlternateContent>
  <xr:revisionPtr revIDLastSave="0" documentId="13_ncr:1_{4E192F8F-FB92-48A2-B3C2-6BB27B0E02CF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3" i="1"/>
  <c r="O2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G5" i="1"/>
  <c r="G15" i="1"/>
  <c r="G14" i="1"/>
  <c r="G13" i="1"/>
  <c r="G12" i="1"/>
  <c r="G17" i="1"/>
  <c r="G24" i="1"/>
  <c r="G23" i="1"/>
  <c r="G29" i="1"/>
  <c r="G28" i="1"/>
  <c r="G27" i="1"/>
  <c r="G26" i="1"/>
  <c r="G25" i="1"/>
  <c r="G43" i="1"/>
  <c r="G51" i="1"/>
  <c r="G55" i="1"/>
  <c r="G60" i="1"/>
  <c r="G64" i="1"/>
  <c r="G63" i="1"/>
  <c r="G4" i="1"/>
  <c r="G59" i="1"/>
  <c r="G42" i="1"/>
  <c r="G32" i="1"/>
  <c r="G20" i="1"/>
  <c r="G3" i="1"/>
  <c r="G2" i="1"/>
  <c r="G6" i="1"/>
  <c r="G11" i="1"/>
  <c r="G10" i="1"/>
  <c r="G9" i="1"/>
  <c r="G8" i="1"/>
  <c r="G7" i="1"/>
  <c r="G16" i="1"/>
  <c r="G19" i="1"/>
  <c r="G18" i="1"/>
  <c r="G22" i="1"/>
  <c r="G21" i="1"/>
  <c r="G31" i="1"/>
  <c r="G30" i="1"/>
  <c r="G40" i="1"/>
  <c r="G39" i="1"/>
  <c r="G38" i="1"/>
  <c r="G37" i="1"/>
  <c r="G36" i="1"/>
  <c r="G35" i="1"/>
  <c r="G34" i="1"/>
  <c r="G33" i="1"/>
  <c r="G41" i="1"/>
  <c r="G44" i="1"/>
  <c r="G50" i="1"/>
  <c r="G49" i="1"/>
  <c r="G48" i="1"/>
  <c r="G47" i="1"/>
  <c r="G46" i="1"/>
  <c r="G45" i="1"/>
  <c r="G54" i="1"/>
  <c r="G53" i="1"/>
  <c r="G52" i="1"/>
  <c r="G56" i="1"/>
  <c r="G58" i="1"/>
  <c r="G57" i="1"/>
  <c r="G62" i="1"/>
  <c r="G61" i="1"/>
</calcChain>
</file>

<file path=xl/sharedStrings.xml><?xml version="1.0" encoding="utf-8"?>
<sst xmlns="http://schemas.openxmlformats.org/spreadsheetml/2006/main" count="196" uniqueCount="59">
  <si>
    <t>Account</t>
  </si>
  <si>
    <t>Capital One</t>
  </si>
  <si>
    <t>Date</t>
  </si>
  <si>
    <t>Description</t>
  </si>
  <si>
    <t>Amount</t>
  </si>
  <si>
    <t>DIERBERGS MARKET PLA</t>
  </si>
  <si>
    <t>WWW.LANDINGSATSPIRIT.C</t>
  </si>
  <si>
    <t>CAPITAL ONE AUTOPAY PYMT</t>
  </si>
  <si>
    <t>QDOBA 1755</t>
  </si>
  <si>
    <t>WALGREENS #7185</t>
  </si>
  <si>
    <t>TARGET        00013532</t>
  </si>
  <si>
    <t>SHAKE SHACK - 1352</t>
  </si>
  <si>
    <t>RAISING CANES 0247</t>
  </si>
  <si>
    <t>EXXON ON THE RUN #602</t>
  </si>
  <si>
    <t>WM SUPERCENTER #2600</t>
  </si>
  <si>
    <t>CHICK-FIL-A #01976</t>
  </si>
  <si>
    <t>QDOBA 2172</t>
  </si>
  <si>
    <t>ME-CHESTERFIELD-MICROS</t>
  </si>
  <si>
    <t>ST. LOUIS PARKING COMP</t>
  </si>
  <si>
    <t>GATEWAY ARCH ONLINE</t>
  </si>
  <si>
    <t>SQ *ARCH CAFE LLC</t>
  </si>
  <si>
    <t>CITYOFSTLOUIS-LAMBERT</t>
  </si>
  <si>
    <t>CHIPOTLE 0918</t>
  </si>
  <si>
    <t>MCDONALD'S F7678</t>
  </si>
  <si>
    <t>SOUTHWES  5264232322949</t>
  </si>
  <si>
    <t>HULU 877-8244858 CA</t>
  </si>
  <si>
    <t>MO DMV</t>
  </si>
  <si>
    <t>SOUTHWES  5262263985843</t>
  </si>
  <si>
    <t>EXXON ON THE RUN #523</t>
  </si>
  <si>
    <t>U-HAUL-CTR-W-COUNT #73</t>
  </si>
  <si>
    <t>Microsoft*Microsoft 36</t>
  </si>
  <si>
    <t>DIRECTPAY FULL BALANCESEE DETAILS OF YOUR NEXT DIRECTPAY BELOW</t>
  </si>
  <si>
    <t>APPLE.COM/BILL 866-712-7753 CAAPPLE PAY ENDING IN 4539MTNFZY1VLSA0</t>
  </si>
  <si>
    <t>APPLE.COM/BILL 866-712-7753 CAAPPLE PAY ENDING IN 4539MTNG051131A0</t>
  </si>
  <si>
    <t>APPLE.COM/BILL 866-712-7753 CAAPPLE PAY ENDING IN 4539</t>
  </si>
  <si>
    <t>Discover</t>
  </si>
  <si>
    <t>Beginning Balance</t>
  </si>
  <si>
    <t>Withdrawal RYAN KIRKENDALL AMERENMO-UTIL PAY ******7387 (R) AMERENMO-UTIL PAYRYAN KIRKENDALL</t>
  </si>
  <si>
    <t>Deposit JOHNSON CONTROLS-PAYROLL JMD********1956 JOHNSON CONTROLS-PAYROLLKIRKENDALL RYAN DANIEL</t>
  </si>
  <si>
    <t>Withdrawal RYAN D KIRKENDALL CAPITAL ONE-CRCARDPMT 3X5WPQ646X3FMK5 CAPITAL ONE-CRCARDPMTRYAN D KIRKENDALL</t>
  </si>
  <si>
    <t>Withdrawal RYAN KIRKENDALL VENMO-PAYMENT *********3777 VENMO-PAYMENTRYAN KIRKENDALL</t>
  </si>
  <si>
    <t>Withdrawal RYAN KIRKENDALL VENMO-PAYMENT *********0875 VENMO-PAYMENTRYAN KIRKENDALL</t>
  </si>
  <si>
    <t>Withdrawal RYAN KIRKENDALL VENMO-PAYMENT *********1465 VENMO-PAYMENTRYAN KIRKENDALL</t>
  </si>
  <si>
    <t>Withdrawal Ryan Kirkendall ROBINHOOD-DEBITS *****4715 (S) ROBINHOOD-DEBITSRyan Kirkendall</t>
  </si>
  <si>
    <t>Withdrawal RYAN KIRKENDALL VENMO-PAYMENT *********1220 VENMO-PAYMENTRYAN KIRKENDALL</t>
  </si>
  <si>
    <t>Withdrawal RYAN KIRKENDALL VENMO-PAYMENT *********9792 VENMO-PAYMENTRYAN KIRKENDALL</t>
  </si>
  <si>
    <t>Withdrawal RYAN KIRKENDALL VENMO-PAYMENT *********2919 VENMO-PAYMENTRYAN KIRKENDALL</t>
  </si>
  <si>
    <t>Withdrawal RYAN KIRKENDALL VENMO-PAYMENT *********1214 VENMO-PAYMENTRYAN KIRKENDALL</t>
  </si>
  <si>
    <t>Withdrawal KIRKENDALL RYAN DISCOVER-E-PAYMENT 2907 (S) DISCOVER-E-PAYMENTKIRKENDALL RYAN</t>
  </si>
  <si>
    <t>Withdrawal RYAN KIRKENDALL VENMO-PAYMENT *********5677 VENMO-PAYMENTRYAN KIRKENDALL</t>
  </si>
  <si>
    <t>Withdrawal RYAN KIRKENDALL VENMO-PAYMENT *********7108 VENMO-PAYMENTRYAN KIRKENDALL</t>
  </si>
  <si>
    <t>Withdrawal RYAN KIRKENDALL VENMO-PAYMENT *********3127 VENMO-PAYMENTRYAN KIRKENDALL</t>
  </si>
  <si>
    <t>Withdrawal RYAN KIRKENDALL VENMO-PAYMENT *********4601 VENMO-PAYMENTRYAN KIRKENDALL</t>
  </si>
  <si>
    <t>Eastex</t>
  </si>
  <si>
    <t>Keep</t>
  </si>
  <si>
    <t>Omit</t>
  </si>
  <si>
    <t>CHECK</t>
  </si>
  <si>
    <t>New Amount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</si>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</sst>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Cash Flow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Sheet1!$M$2:$M$19</c:f>
              <c:numCache>
                <c:formatCode>m/d/yyyy</c:formatCode>
                <c:ptCount val="18"/>
                <c:pt idx="0">
                  <c:v>45352</c:v>
                </c:pt>
                <c:pt idx="1">
                  <c:v>45353</c:v>
                </c:pt>
                <c:pt idx="2">
                  <c:v>45355</c:v>
                </c:pt>
                <c:pt idx="3">
                  <c:v>45356</c:v>
                </c:pt>
                <c:pt idx="4">
                  <c:v>45357</c:v>
                </c:pt>
                <c:pt idx="5">
                  <c:v>45358</c:v>
                </c:pt>
                <c:pt idx="6">
                  <c:v>45359</c:v>
                </c:pt>
                <c:pt idx="7">
                  <c:v>45360</c:v>
                </c:pt>
                <c:pt idx="8">
                  <c:v>45362</c:v>
                </c:pt>
                <c:pt idx="9">
                  <c:v>45363</c:v>
                </c:pt>
                <c:pt idx="10">
                  <c:v>45364</c:v>
                </c:pt>
                <c:pt idx="11">
                  <c:v>45365</c:v>
                </c:pt>
                <c:pt idx="12">
                  <c:v>45367</c:v>
                </c:pt>
                <c:pt idx="13">
                  <c:v>45369</c:v>
                </c:pt>
                <c:pt idx="14">
                  <c:v>45370</c:v>
                </c:pt>
                <c:pt idx="15">
                  <c:v>45371</c:v>
                </c:pt>
                <c:pt idx="16">
                  <c:v>45372</c:v>
                </c:pt>
                <c:pt idx="17">
                  <c:v>45373</c:v>
                </c:pt>
              </c:numCache>
            </c:numRef>
          </c:xVal>
          <c:yVal>
            <c:numRef>
              <c:f>Sheet1!$O$2:$O$19</c:f>
              <c:numCache>
                <c:formatCode>General</c:formatCode>
                <c:ptCount val="18"/>
                <c:pt idx="0">
                  <c:v>-57.540000000000006</c:v>
                </c:pt>
                <c:pt idx="1">
                  <c:v>-64.53</c:v>
                </c:pt>
                <c:pt idx="2">
                  <c:v>-2585.5300000000002</c:v>
                </c:pt>
                <c:pt idx="3">
                  <c:v>-2863.48</c:v>
                </c:pt>
                <c:pt idx="4">
                  <c:v>-2925.63</c:v>
                </c:pt>
                <c:pt idx="5">
                  <c:v>-2944.21</c:v>
                </c:pt>
                <c:pt idx="6">
                  <c:v>-1227.3100000000002</c:v>
                </c:pt>
                <c:pt idx="7">
                  <c:v>-1346.9500000000003</c:v>
                </c:pt>
                <c:pt idx="8">
                  <c:v>-1696.8900000000003</c:v>
                </c:pt>
                <c:pt idx="9">
                  <c:v>-1751.8800000000003</c:v>
                </c:pt>
                <c:pt idx="10">
                  <c:v>-1808.7200000000003</c:v>
                </c:pt>
                <c:pt idx="11">
                  <c:v>-2053.46</c:v>
                </c:pt>
                <c:pt idx="12">
                  <c:v>-2140.6</c:v>
                </c:pt>
                <c:pt idx="13">
                  <c:v>-2206.6</c:v>
                </c:pt>
                <c:pt idx="14">
                  <c:v>-2236.5899999999997</c:v>
                </c:pt>
                <c:pt idx="15">
                  <c:v>-2248.89</c:v>
                </c:pt>
                <c:pt idx="16">
                  <c:v>-2248.89</c:v>
                </c:pt>
                <c:pt idx="17">
                  <c:v>-505.67000000000007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5F-41E8-BC59-4C419D00D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152304"/>
        <c:axId val="480150864"/>
      </c:scatterChart>
      <c:valAx>
        <c:axId val="48015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150864"/>
        <c:crosses val="autoZero"/>
        <c:crossBetween val="midCat"/>
      </c:valAx>
      <c:valAx>
        <c:axId val="48015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15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5257800</xdr:colOff>
      <xdr:row>2</xdr:row>
      <xdr:rowOff>53340</xdr:rowOff>
    </xdr:from>
    <xdr:to>
      <xdr:col>17</xdr:col>
      <xdr:colOff>518160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4388E3-417B-7EF2-805E-7FB270C89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D1" workbookViewId="0">
      <selection activeCell="M34" sqref="M34"/>
    </sheetView>
  </sheetViews>
  <sheetFormatPr defaultRowHeight="14.4" x14ac:dyDescent="0.3"/>
  <cols>
    <col min="3" max="3" width="9.5546875" bestFit="1" customWidth="1"/>
    <col min="4" max="4" width="109.109375" bestFit="1" customWidth="1"/>
    <col min="5" max="5" width="11.44140625" customWidth="1"/>
    <col min="7" max="7" width="11.6640625" bestFit="1" customWidth="1"/>
  </cols>
  <sheetData>
    <row r="1" spans="1:15" x14ac:dyDescent="0.3">
      <c r="A1" t="s">
        <v>58</v>
      </c>
      <c r="B1" t="s">
        <v>0</v>
      </c>
      <c r="C1" t="s">
        <v>2</v>
      </c>
      <c r="D1" t="s">
        <v>3</v>
      </c>
      <c r="E1" t="s">
        <v>56</v>
      </c>
      <c r="F1" t="s">
        <v>4</v>
      </c>
      <c r="G1" t="s">
        <v>57</v>
      </c>
    </row>
    <row r="2" spans="1:15" x14ac:dyDescent="0.3">
      <c r="A2">
        <v>38</v>
      </c>
      <c r="B2" t="s">
        <v>1</v>
      </c>
      <c r="C2" s="1">
        <v>45352</v>
      </c>
      <c r="D2" t="s">
        <v>5</v>
      </c>
      <c r="E2" t="s">
        <v>54</v>
      </c>
      <c r="F2">
        <v>-41.24</v>
      </c>
      <c r="G2">
        <f>IF(E2="Keep",F2,0)</f>
        <v>-41.24</v>
      </c>
      <c r="M2" s="1">
        <v>45352</v>
      </c>
      <c r="N2">
        <f>SUMIF(C:C,M2,G:G)</f>
        <v>-57.540000000000006</v>
      </c>
      <c r="O2">
        <f>N2</f>
        <v>-57.540000000000006</v>
      </c>
    </row>
    <row r="3" spans="1:15" x14ac:dyDescent="0.3">
      <c r="A3">
        <v>39</v>
      </c>
      <c r="B3" t="s">
        <v>1</v>
      </c>
      <c r="C3" s="1">
        <v>45352</v>
      </c>
      <c r="D3" t="s">
        <v>9</v>
      </c>
      <c r="E3" t="s">
        <v>54</v>
      </c>
      <c r="F3">
        <v>-16.3</v>
      </c>
      <c r="G3">
        <f>IF(E3="Keep",F3,0)</f>
        <v>-16.3</v>
      </c>
      <c r="M3" s="1">
        <v>45353</v>
      </c>
      <c r="N3">
        <f t="shared" ref="N3:N19" si="0">SUMIF(C:C,M3,G:G)</f>
        <v>-6.99</v>
      </c>
      <c r="O3">
        <f>O2+N3</f>
        <v>-64.53</v>
      </c>
    </row>
    <row r="4" spans="1:15" x14ac:dyDescent="0.3">
      <c r="A4">
        <v>44</v>
      </c>
      <c r="B4" t="s">
        <v>53</v>
      </c>
      <c r="C4" s="1">
        <v>45352</v>
      </c>
      <c r="D4" t="s">
        <v>36</v>
      </c>
      <c r="E4" t="s">
        <v>55</v>
      </c>
      <c r="F4">
        <v>0</v>
      </c>
      <c r="G4">
        <f>IF(E4="Keep",F4,0)</f>
        <v>0</v>
      </c>
      <c r="M4" s="1">
        <v>45355</v>
      </c>
      <c r="N4">
        <f t="shared" si="0"/>
        <v>-2521</v>
      </c>
      <c r="O4">
        <f t="shared" ref="O4:O19" si="1">O3+N4</f>
        <v>-2585.5300000000002</v>
      </c>
    </row>
    <row r="5" spans="1:15" x14ac:dyDescent="0.3">
      <c r="A5">
        <v>63</v>
      </c>
      <c r="B5" t="s">
        <v>53</v>
      </c>
      <c r="C5" s="1">
        <v>45352</v>
      </c>
      <c r="D5" t="s">
        <v>36</v>
      </c>
      <c r="E5" t="s">
        <v>55</v>
      </c>
      <c r="F5">
        <v>0</v>
      </c>
      <c r="G5">
        <f>IF(E5="Keep",F5,0)</f>
        <v>0</v>
      </c>
      <c r="M5" s="1">
        <v>45356</v>
      </c>
      <c r="N5">
        <f t="shared" si="0"/>
        <v>-277.95</v>
      </c>
      <c r="O5">
        <f t="shared" si="1"/>
        <v>-2863.48</v>
      </c>
    </row>
    <row r="6" spans="1:15" x14ac:dyDescent="0.3">
      <c r="A6">
        <v>37</v>
      </c>
      <c r="B6" t="s">
        <v>1</v>
      </c>
      <c r="C6" s="1">
        <v>45353</v>
      </c>
      <c r="D6" t="s">
        <v>30</v>
      </c>
      <c r="E6" t="s">
        <v>54</v>
      </c>
      <c r="F6">
        <v>-6.99</v>
      </c>
      <c r="G6">
        <f>IF(E6="Keep",F6,0)</f>
        <v>-6.99</v>
      </c>
      <c r="M6" s="1">
        <v>45357</v>
      </c>
      <c r="N6">
        <f t="shared" si="0"/>
        <v>-62.15</v>
      </c>
      <c r="O6">
        <f t="shared" si="1"/>
        <v>-2925.63</v>
      </c>
    </row>
    <row r="7" spans="1:15" x14ac:dyDescent="0.3">
      <c r="A7">
        <v>32</v>
      </c>
      <c r="B7" t="s">
        <v>1</v>
      </c>
      <c r="C7" s="1">
        <v>45355</v>
      </c>
      <c r="D7" t="s">
        <v>14</v>
      </c>
      <c r="E7" t="s">
        <v>54</v>
      </c>
      <c r="F7">
        <v>-56.11</v>
      </c>
      <c r="G7">
        <f>IF(E7="Keep",F7,0)</f>
        <v>-56.11</v>
      </c>
      <c r="M7" s="1">
        <v>45358</v>
      </c>
      <c r="N7">
        <f t="shared" si="0"/>
        <v>-18.579999999999998</v>
      </c>
      <c r="O7">
        <f t="shared" si="1"/>
        <v>-2944.21</v>
      </c>
    </row>
    <row r="8" spans="1:15" x14ac:dyDescent="0.3">
      <c r="A8">
        <v>33</v>
      </c>
      <c r="B8" t="s">
        <v>1</v>
      </c>
      <c r="C8" s="1">
        <v>45355</v>
      </c>
      <c r="D8" t="s">
        <v>27</v>
      </c>
      <c r="E8" t="s">
        <v>54</v>
      </c>
      <c r="F8">
        <v>-1439.92</v>
      </c>
      <c r="G8">
        <f>IF(E8="Keep",F8,0)</f>
        <v>-1439.92</v>
      </c>
      <c r="M8" s="1">
        <v>45359</v>
      </c>
      <c r="N8">
        <f t="shared" si="0"/>
        <v>1716.8999999999999</v>
      </c>
      <c r="O8">
        <f t="shared" si="1"/>
        <v>-1227.3100000000002</v>
      </c>
    </row>
    <row r="9" spans="1:15" x14ac:dyDescent="0.3">
      <c r="A9">
        <v>34</v>
      </c>
      <c r="B9" t="s">
        <v>1</v>
      </c>
      <c r="C9" s="1">
        <v>45355</v>
      </c>
      <c r="D9" t="s">
        <v>28</v>
      </c>
      <c r="E9" t="s">
        <v>54</v>
      </c>
      <c r="F9">
        <v>-25.77</v>
      </c>
      <c r="G9">
        <f>IF(E9="Keep",F9,0)</f>
        <v>-25.77</v>
      </c>
      <c r="M9" s="1">
        <v>45360</v>
      </c>
      <c r="N9">
        <f t="shared" si="0"/>
        <v>-119.63999999999999</v>
      </c>
      <c r="O9">
        <f t="shared" si="1"/>
        <v>-1346.9500000000003</v>
      </c>
    </row>
    <row r="10" spans="1:15" x14ac:dyDescent="0.3">
      <c r="A10">
        <v>35</v>
      </c>
      <c r="B10" t="s">
        <v>1</v>
      </c>
      <c r="C10" s="1">
        <v>45355</v>
      </c>
      <c r="D10" t="s">
        <v>29</v>
      </c>
      <c r="E10" t="s">
        <v>54</v>
      </c>
      <c r="F10">
        <v>-87.96</v>
      </c>
      <c r="G10">
        <f>IF(E10="Keep",F10,0)</f>
        <v>-87.96</v>
      </c>
      <c r="M10" s="1">
        <v>45362</v>
      </c>
      <c r="N10">
        <f t="shared" si="0"/>
        <v>-349.94</v>
      </c>
      <c r="O10">
        <f t="shared" si="1"/>
        <v>-1696.8900000000003</v>
      </c>
    </row>
    <row r="11" spans="1:15" x14ac:dyDescent="0.3">
      <c r="A11">
        <v>36</v>
      </c>
      <c r="B11" t="s">
        <v>1</v>
      </c>
      <c r="C11" s="1">
        <v>45355</v>
      </c>
      <c r="D11" t="s">
        <v>23</v>
      </c>
      <c r="E11" t="s">
        <v>54</v>
      </c>
      <c r="F11">
        <v>-13.24</v>
      </c>
      <c r="G11">
        <f>IF(E11="Keep",F11,0)</f>
        <v>-13.24</v>
      </c>
      <c r="M11" s="1">
        <v>45363</v>
      </c>
      <c r="N11">
        <f t="shared" si="0"/>
        <v>-54.99</v>
      </c>
      <c r="O11">
        <f t="shared" si="1"/>
        <v>-1751.8800000000003</v>
      </c>
    </row>
    <row r="12" spans="1:15" x14ac:dyDescent="0.3">
      <c r="A12">
        <v>59</v>
      </c>
      <c r="B12" t="s">
        <v>53</v>
      </c>
      <c r="C12" s="1">
        <v>45355</v>
      </c>
      <c r="D12" t="s">
        <v>49</v>
      </c>
      <c r="E12" t="s">
        <v>54</v>
      </c>
      <c r="F12">
        <v>-826</v>
      </c>
      <c r="G12">
        <f>IF(E12="Keep",F12,0)</f>
        <v>-826</v>
      </c>
      <c r="M12" s="1">
        <v>45364</v>
      </c>
      <c r="N12">
        <f t="shared" si="0"/>
        <v>-56.84</v>
      </c>
      <c r="O12">
        <f t="shared" si="1"/>
        <v>-1808.7200000000003</v>
      </c>
    </row>
    <row r="13" spans="1:15" x14ac:dyDescent="0.3">
      <c r="A13">
        <v>60</v>
      </c>
      <c r="B13" t="s">
        <v>53</v>
      </c>
      <c r="C13" s="1">
        <v>45355</v>
      </c>
      <c r="D13" t="s">
        <v>50</v>
      </c>
      <c r="E13" t="s">
        <v>54</v>
      </c>
      <c r="F13">
        <v>-31</v>
      </c>
      <c r="G13">
        <f>IF(E13="Keep",F13,0)</f>
        <v>-31</v>
      </c>
      <c r="M13" s="1">
        <v>45365</v>
      </c>
      <c r="N13">
        <f t="shared" si="0"/>
        <v>-244.74</v>
      </c>
      <c r="O13">
        <f t="shared" si="1"/>
        <v>-2053.46</v>
      </c>
    </row>
    <row r="14" spans="1:15" x14ac:dyDescent="0.3">
      <c r="A14">
        <v>61</v>
      </c>
      <c r="B14" t="s">
        <v>53</v>
      </c>
      <c r="C14" s="1">
        <v>45355</v>
      </c>
      <c r="D14" t="s">
        <v>51</v>
      </c>
      <c r="E14" t="s">
        <v>54</v>
      </c>
      <c r="F14">
        <v>-26</v>
      </c>
      <c r="G14">
        <f>IF(E14="Keep",F14,0)</f>
        <v>-26</v>
      </c>
      <c r="M14" s="1">
        <v>45367</v>
      </c>
      <c r="N14">
        <f t="shared" si="0"/>
        <v>-87.140000000000015</v>
      </c>
      <c r="O14">
        <f t="shared" si="1"/>
        <v>-2140.6</v>
      </c>
    </row>
    <row r="15" spans="1:15" x14ac:dyDescent="0.3">
      <c r="A15">
        <v>62</v>
      </c>
      <c r="B15" t="s">
        <v>53</v>
      </c>
      <c r="C15" s="1">
        <v>45355</v>
      </c>
      <c r="D15" t="s">
        <v>52</v>
      </c>
      <c r="E15" t="s">
        <v>54</v>
      </c>
      <c r="F15">
        <v>-15</v>
      </c>
      <c r="G15">
        <f>IF(E15="Keep",F15,0)</f>
        <v>-15</v>
      </c>
      <c r="M15" s="1">
        <v>45369</v>
      </c>
      <c r="N15">
        <f t="shared" si="0"/>
        <v>-66</v>
      </c>
      <c r="O15">
        <f t="shared" si="1"/>
        <v>-2206.6</v>
      </c>
    </row>
    <row r="16" spans="1:15" x14ac:dyDescent="0.3">
      <c r="A16">
        <v>31</v>
      </c>
      <c r="B16" t="s">
        <v>1</v>
      </c>
      <c r="C16" s="1">
        <v>45356</v>
      </c>
      <c r="D16" t="s">
        <v>5</v>
      </c>
      <c r="E16" t="s">
        <v>54</v>
      </c>
      <c r="F16">
        <v>-37.950000000000003</v>
      </c>
      <c r="G16">
        <f>IF(E16="Keep",F16,0)</f>
        <v>-37.950000000000003</v>
      </c>
      <c r="M16" s="1">
        <v>45370</v>
      </c>
      <c r="N16">
        <f t="shared" si="0"/>
        <v>-29.99</v>
      </c>
      <c r="O16">
        <f t="shared" si="1"/>
        <v>-2236.5899999999997</v>
      </c>
    </row>
    <row r="17" spans="1:15" x14ac:dyDescent="0.3">
      <c r="A17">
        <v>58</v>
      </c>
      <c r="B17" t="s">
        <v>53</v>
      </c>
      <c r="C17" s="1">
        <v>45356</v>
      </c>
      <c r="D17" t="s">
        <v>43</v>
      </c>
      <c r="E17" t="s">
        <v>54</v>
      </c>
      <c r="F17">
        <v>-240</v>
      </c>
      <c r="G17">
        <f>IF(E17="Keep",F17,0)</f>
        <v>-240</v>
      </c>
      <c r="M17" s="1">
        <v>45371</v>
      </c>
      <c r="N17">
        <f t="shared" si="0"/>
        <v>-12.3</v>
      </c>
      <c r="O17">
        <f t="shared" si="1"/>
        <v>-2248.89</v>
      </c>
    </row>
    <row r="18" spans="1:15" x14ac:dyDescent="0.3">
      <c r="A18">
        <v>29</v>
      </c>
      <c r="B18" t="s">
        <v>1</v>
      </c>
      <c r="C18" s="1">
        <v>45357</v>
      </c>
      <c r="D18" t="s">
        <v>5</v>
      </c>
      <c r="E18" t="s">
        <v>54</v>
      </c>
      <c r="F18">
        <v>-42.01</v>
      </c>
      <c r="G18">
        <f>IF(E18="Keep",F18,0)</f>
        <v>-42.01</v>
      </c>
      <c r="M18" s="1">
        <v>45372</v>
      </c>
      <c r="N18">
        <f t="shared" si="0"/>
        <v>0</v>
      </c>
      <c r="O18">
        <f t="shared" si="1"/>
        <v>-2248.89</v>
      </c>
    </row>
    <row r="19" spans="1:15" x14ac:dyDescent="0.3">
      <c r="A19">
        <v>30</v>
      </c>
      <c r="B19" t="s">
        <v>1</v>
      </c>
      <c r="C19" s="1">
        <v>45357</v>
      </c>
      <c r="D19" t="s">
        <v>26</v>
      </c>
      <c r="E19" t="s">
        <v>54</v>
      </c>
      <c r="F19">
        <v>-20.14</v>
      </c>
      <c r="G19">
        <f>IF(E19="Keep",F19,0)</f>
        <v>-20.14</v>
      </c>
      <c r="M19" s="1">
        <v>45373</v>
      </c>
      <c r="N19">
        <f t="shared" si="0"/>
        <v>1743.2199999999998</v>
      </c>
      <c r="O19">
        <f t="shared" si="1"/>
        <v>-505.67000000000007</v>
      </c>
    </row>
    <row r="20" spans="1:15" x14ac:dyDescent="0.3">
      <c r="A20">
        <v>40</v>
      </c>
      <c r="B20" t="s">
        <v>35</v>
      </c>
      <c r="C20" s="1">
        <v>45357</v>
      </c>
      <c r="D20" t="s">
        <v>31</v>
      </c>
      <c r="E20" t="s">
        <v>55</v>
      </c>
      <c r="F20">
        <v>924.52</v>
      </c>
      <c r="G20">
        <f>IF(E20="Keep",F20,0)</f>
        <v>0</v>
      </c>
    </row>
    <row r="21" spans="1:15" x14ac:dyDescent="0.3">
      <c r="A21">
        <v>27</v>
      </c>
      <c r="B21" t="s">
        <v>1</v>
      </c>
      <c r="C21" s="1">
        <v>45358</v>
      </c>
      <c r="D21" t="s">
        <v>26</v>
      </c>
      <c r="E21" t="s">
        <v>54</v>
      </c>
      <c r="F21">
        <v>20.14</v>
      </c>
      <c r="G21">
        <f>IF(E21="Keep",F21,0)</f>
        <v>20.14</v>
      </c>
    </row>
    <row r="22" spans="1:15" x14ac:dyDescent="0.3">
      <c r="A22">
        <v>28</v>
      </c>
      <c r="B22" t="s">
        <v>1</v>
      </c>
      <c r="C22" s="1">
        <v>45358</v>
      </c>
      <c r="D22" t="s">
        <v>26</v>
      </c>
      <c r="E22" t="s">
        <v>54</v>
      </c>
      <c r="F22">
        <v>-12.49</v>
      </c>
      <c r="G22">
        <f>IF(E22="Keep",F22,0)</f>
        <v>-12.49</v>
      </c>
    </row>
    <row r="23" spans="1:15" x14ac:dyDescent="0.3">
      <c r="A23">
        <v>56</v>
      </c>
      <c r="B23" t="s">
        <v>53</v>
      </c>
      <c r="C23" s="1">
        <v>45358</v>
      </c>
      <c r="D23" t="s">
        <v>47</v>
      </c>
      <c r="E23" t="s">
        <v>54</v>
      </c>
      <c r="F23">
        <v>-26.23</v>
      </c>
      <c r="G23">
        <f>IF(E23="Keep",F23,0)</f>
        <v>-26.23</v>
      </c>
    </row>
    <row r="24" spans="1:15" x14ac:dyDescent="0.3">
      <c r="A24">
        <v>57</v>
      </c>
      <c r="B24" t="s">
        <v>53</v>
      </c>
      <c r="C24" s="1">
        <v>45358</v>
      </c>
      <c r="D24" t="s">
        <v>48</v>
      </c>
      <c r="E24" t="s">
        <v>55</v>
      </c>
      <c r="F24">
        <v>-924.52</v>
      </c>
      <c r="G24">
        <f>IF(E24="Keep",F24,0)</f>
        <v>0</v>
      </c>
    </row>
    <row r="25" spans="1:15" x14ac:dyDescent="0.3">
      <c r="A25">
        <v>51</v>
      </c>
      <c r="B25" t="s">
        <v>53</v>
      </c>
      <c r="C25" s="1">
        <v>45359</v>
      </c>
      <c r="D25" t="s">
        <v>43</v>
      </c>
      <c r="E25" t="s">
        <v>54</v>
      </c>
      <c r="F25">
        <v>-110</v>
      </c>
      <c r="G25">
        <f>IF(E25="Keep",F25,0)</f>
        <v>-110</v>
      </c>
    </row>
    <row r="26" spans="1:15" x14ac:dyDescent="0.3">
      <c r="A26">
        <v>52</v>
      </c>
      <c r="B26" t="s">
        <v>53</v>
      </c>
      <c r="C26" s="1">
        <v>45359</v>
      </c>
      <c r="D26" t="s">
        <v>44</v>
      </c>
      <c r="E26" t="s">
        <v>54</v>
      </c>
      <c r="F26">
        <v>-95</v>
      </c>
      <c r="G26">
        <f>IF(E26="Keep",F26,0)</f>
        <v>-95</v>
      </c>
    </row>
    <row r="27" spans="1:15" x14ac:dyDescent="0.3">
      <c r="A27">
        <v>53</v>
      </c>
      <c r="B27" t="s">
        <v>53</v>
      </c>
      <c r="C27" s="1">
        <v>45359</v>
      </c>
      <c r="D27" t="s">
        <v>45</v>
      </c>
      <c r="E27" t="s">
        <v>54</v>
      </c>
      <c r="F27">
        <v>-21</v>
      </c>
      <c r="G27">
        <f>IF(E27="Keep",F27,0)</f>
        <v>-21</v>
      </c>
    </row>
    <row r="28" spans="1:15" x14ac:dyDescent="0.3">
      <c r="A28">
        <v>54</v>
      </c>
      <c r="B28" t="s">
        <v>53</v>
      </c>
      <c r="C28" s="1">
        <v>45359</v>
      </c>
      <c r="D28" t="s">
        <v>46</v>
      </c>
      <c r="E28" t="s">
        <v>54</v>
      </c>
      <c r="F28">
        <v>-34.950000000000003</v>
      </c>
      <c r="G28">
        <f>IF(E28="Keep",F28,0)</f>
        <v>-34.950000000000003</v>
      </c>
    </row>
    <row r="29" spans="1:15" x14ac:dyDescent="0.3">
      <c r="A29">
        <v>55</v>
      </c>
      <c r="B29" t="s">
        <v>53</v>
      </c>
      <c r="C29" s="1">
        <v>45359</v>
      </c>
      <c r="D29" t="s">
        <v>38</v>
      </c>
      <c r="E29" t="s">
        <v>54</v>
      </c>
      <c r="F29">
        <v>1977.85</v>
      </c>
      <c r="G29">
        <f>IF(E29="Keep",F29,0)</f>
        <v>1977.85</v>
      </c>
    </row>
    <row r="30" spans="1:15" x14ac:dyDescent="0.3">
      <c r="A30">
        <v>25</v>
      </c>
      <c r="B30" t="s">
        <v>1</v>
      </c>
      <c r="C30" s="1">
        <v>45360</v>
      </c>
      <c r="D30" t="s">
        <v>5</v>
      </c>
      <c r="E30" t="s">
        <v>54</v>
      </c>
      <c r="F30">
        <v>-25.66</v>
      </c>
      <c r="G30">
        <f>IF(E30="Keep",F30,0)</f>
        <v>-25.66</v>
      </c>
    </row>
    <row r="31" spans="1:15" x14ac:dyDescent="0.3">
      <c r="A31">
        <v>26</v>
      </c>
      <c r="B31" t="s">
        <v>1</v>
      </c>
      <c r="C31" s="1">
        <v>45360</v>
      </c>
      <c r="D31" t="s">
        <v>25</v>
      </c>
      <c r="E31" t="s">
        <v>54</v>
      </c>
      <c r="F31">
        <v>-81.99</v>
      </c>
      <c r="G31">
        <f>IF(E31="Keep",F31,0)</f>
        <v>-81.99</v>
      </c>
    </row>
    <row r="32" spans="1:15" x14ac:dyDescent="0.3">
      <c r="A32">
        <v>41</v>
      </c>
      <c r="B32" t="s">
        <v>35</v>
      </c>
      <c r="C32" s="1">
        <v>45360</v>
      </c>
      <c r="D32" t="s">
        <v>32</v>
      </c>
      <c r="E32" t="s">
        <v>54</v>
      </c>
      <c r="F32">
        <v>-11.99</v>
      </c>
      <c r="G32">
        <f>IF(E32="Keep",F32,0)</f>
        <v>-11.99</v>
      </c>
    </row>
    <row r="33" spans="1:7" x14ac:dyDescent="0.3">
      <c r="A33">
        <v>17</v>
      </c>
      <c r="B33" t="s">
        <v>1</v>
      </c>
      <c r="C33" s="1">
        <v>45362</v>
      </c>
      <c r="D33" t="s">
        <v>5</v>
      </c>
      <c r="E33" t="s">
        <v>54</v>
      </c>
      <c r="F33">
        <v>-63.68</v>
      </c>
      <c r="G33">
        <f>IF(E33="Keep",F33,0)</f>
        <v>-63.68</v>
      </c>
    </row>
    <row r="34" spans="1:7" x14ac:dyDescent="0.3">
      <c r="A34">
        <v>18</v>
      </c>
      <c r="B34" t="s">
        <v>1</v>
      </c>
      <c r="C34" s="1">
        <v>45362</v>
      </c>
      <c r="D34" t="s">
        <v>19</v>
      </c>
      <c r="E34" t="s">
        <v>54</v>
      </c>
      <c r="F34">
        <v>-75</v>
      </c>
      <c r="G34">
        <f>IF(E34="Keep",F34,0)</f>
        <v>-75</v>
      </c>
    </row>
    <row r="35" spans="1:7" x14ac:dyDescent="0.3">
      <c r="A35">
        <v>19</v>
      </c>
      <c r="B35" t="s">
        <v>1</v>
      </c>
      <c r="C35" s="1">
        <v>45362</v>
      </c>
      <c r="D35" t="s">
        <v>20</v>
      </c>
      <c r="E35" t="s">
        <v>54</v>
      </c>
      <c r="F35">
        <v>-14</v>
      </c>
      <c r="G35">
        <f>IF(E35="Keep",F35,0)</f>
        <v>-14</v>
      </c>
    </row>
    <row r="36" spans="1:7" x14ac:dyDescent="0.3">
      <c r="A36">
        <v>20</v>
      </c>
      <c r="B36" t="s">
        <v>1</v>
      </c>
      <c r="C36" s="1">
        <v>45362</v>
      </c>
      <c r="D36" t="s">
        <v>21</v>
      </c>
      <c r="E36" t="s">
        <v>54</v>
      </c>
      <c r="F36">
        <v>-5</v>
      </c>
      <c r="G36">
        <f>IF(E36="Keep",F36,0)</f>
        <v>-5</v>
      </c>
    </row>
    <row r="37" spans="1:7" x14ac:dyDescent="0.3">
      <c r="A37">
        <v>21</v>
      </c>
      <c r="B37" t="s">
        <v>1</v>
      </c>
      <c r="C37" s="1">
        <v>45362</v>
      </c>
      <c r="D37" t="s">
        <v>13</v>
      </c>
      <c r="E37" t="s">
        <v>54</v>
      </c>
      <c r="F37">
        <v>-30.37</v>
      </c>
      <c r="G37">
        <f>IF(E37="Keep",F37,0)</f>
        <v>-30.37</v>
      </c>
    </row>
    <row r="38" spans="1:7" x14ac:dyDescent="0.3">
      <c r="A38">
        <v>22</v>
      </c>
      <c r="B38" t="s">
        <v>1</v>
      </c>
      <c r="C38" s="1">
        <v>45362</v>
      </c>
      <c r="D38" t="s">
        <v>22</v>
      </c>
      <c r="E38" t="s">
        <v>54</v>
      </c>
      <c r="F38">
        <v>-60.84</v>
      </c>
      <c r="G38">
        <f>IF(E38="Keep",F38,0)</f>
        <v>-60.84</v>
      </c>
    </row>
    <row r="39" spans="1:7" x14ac:dyDescent="0.3">
      <c r="A39">
        <v>23</v>
      </c>
      <c r="B39" t="s">
        <v>1</v>
      </c>
      <c r="C39" s="1">
        <v>45362</v>
      </c>
      <c r="D39" t="s">
        <v>23</v>
      </c>
      <c r="E39" t="s">
        <v>54</v>
      </c>
      <c r="F39">
        <v>-21.05</v>
      </c>
      <c r="G39">
        <f>IF(E39="Keep",F39,0)</f>
        <v>-21.05</v>
      </c>
    </row>
    <row r="40" spans="1:7" x14ac:dyDescent="0.3">
      <c r="A40">
        <v>24</v>
      </c>
      <c r="B40" t="s">
        <v>1</v>
      </c>
      <c r="C40" s="1">
        <v>45362</v>
      </c>
      <c r="D40" t="s">
        <v>24</v>
      </c>
      <c r="E40" t="s">
        <v>54</v>
      </c>
      <c r="F40">
        <v>-80</v>
      </c>
      <c r="G40">
        <f>IF(E40="Keep",F40,0)</f>
        <v>-80</v>
      </c>
    </row>
    <row r="41" spans="1:7" x14ac:dyDescent="0.3">
      <c r="A41">
        <v>16</v>
      </c>
      <c r="B41" t="s">
        <v>1</v>
      </c>
      <c r="C41" s="1">
        <v>45363</v>
      </c>
      <c r="D41" t="s">
        <v>18</v>
      </c>
      <c r="E41" t="s">
        <v>54</v>
      </c>
      <c r="F41">
        <v>-10</v>
      </c>
      <c r="G41">
        <f>IF(E41="Keep",F41,0)</f>
        <v>-10</v>
      </c>
    </row>
    <row r="42" spans="1:7" x14ac:dyDescent="0.3">
      <c r="A42">
        <v>42</v>
      </c>
      <c r="B42" t="s">
        <v>35</v>
      </c>
      <c r="C42" s="1">
        <v>45363</v>
      </c>
      <c r="D42" t="s">
        <v>33</v>
      </c>
      <c r="E42" t="s">
        <v>54</v>
      </c>
      <c r="F42">
        <v>-9.99</v>
      </c>
      <c r="G42">
        <f>IF(E42="Keep",F42,0)</f>
        <v>-9.99</v>
      </c>
    </row>
    <row r="43" spans="1:7" x14ac:dyDescent="0.3">
      <c r="A43">
        <v>50</v>
      </c>
      <c r="B43" t="s">
        <v>53</v>
      </c>
      <c r="C43" s="1">
        <v>45363</v>
      </c>
      <c r="D43" t="s">
        <v>42</v>
      </c>
      <c r="E43" t="s">
        <v>54</v>
      </c>
      <c r="F43">
        <v>-35</v>
      </c>
      <c r="G43">
        <f>IF(E43="Keep",F43,0)</f>
        <v>-35</v>
      </c>
    </row>
    <row r="44" spans="1:7" x14ac:dyDescent="0.3">
      <c r="A44">
        <v>15</v>
      </c>
      <c r="B44" t="s">
        <v>1</v>
      </c>
      <c r="C44" s="1">
        <v>45364</v>
      </c>
      <c r="D44" t="s">
        <v>17</v>
      </c>
      <c r="E44" t="s">
        <v>54</v>
      </c>
      <c r="F44">
        <v>-56.84</v>
      </c>
      <c r="G44">
        <f>IF(E44="Keep",F44,0)</f>
        <v>-56.84</v>
      </c>
    </row>
    <row r="45" spans="1:7" x14ac:dyDescent="0.3">
      <c r="A45">
        <v>9</v>
      </c>
      <c r="B45" t="s">
        <v>1</v>
      </c>
      <c r="C45" s="1">
        <v>45365</v>
      </c>
      <c r="D45" t="s">
        <v>13</v>
      </c>
      <c r="E45" t="s">
        <v>54</v>
      </c>
      <c r="F45">
        <v>-8.49</v>
      </c>
      <c r="G45">
        <f>IF(E45="Keep",F45,0)</f>
        <v>-8.49</v>
      </c>
    </row>
    <row r="46" spans="1:7" x14ac:dyDescent="0.3">
      <c r="A46">
        <v>10</v>
      </c>
      <c r="B46" t="s">
        <v>1</v>
      </c>
      <c r="C46" s="1">
        <v>45365</v>
      </c>
      <c r="D46" t="s">
        <v>13</v>
      </c>
      <c r="E46" t="s">
        <v>54</v>
      </c>
      <c r="F46">
        <v>-9.0299999999999994</v>
      </c>
      <c r="G46">
        <f>IF(E46="Keep",F46,0)</f>
        <v>-9.0299999999999994</v>
      </c>
    </row>
    <row r="47" spans="1:7" x14ac:dyDescent="0.3">
      <c r="A47">
        <v>11</v>
      </c>
      <c r="B47" t="s">
        <v>1</v>
      </c>
      <c r="C47" s="1">
        <v>45365</v>
      </c>
      <c r="D47" t="s">
        <v>5</v>
      </c>
      <c r="E47" t="s">
        <v>54</v>
      </c>
      <c r="F47">
        <v>-21.46</v>
      </c>
      <c r="G47">
        <f>IF(E47="Keep",F47,0)</f>
        <v>-21.46</v>
      </c>
    </row>
    <row r="48" spans="1:7" x14ac:dyDescent="0.3">
      <c r="A48">
        <v>12</v>
      </c>
      <c r="B48" t="s">
        <v>1</v>
      </c>
      <c r="C48" s="1">
        <v>45365</v>
      </c>
      <c r="D48" t="s">
        <v>14</v>
      </c>
      <c r="E48" t="s">
        <v>54</v>
      </c>
      <c r="F48">
        <v>-91.49</v>
      </c>
      <c r="G48">
        <f>IF(E48="Keep",F48,0)</f>
        <v>-91.49</v>
      </c>
    </row>
    <row r="49" spans="1:7" x14ac:dyDescent="0.3">
      <c r="A49">
        <v>13</v>
      </c>
      <c r="B49" t="s">
        <v>1</v>
      </c>
      <c r="C49" s="1">
        <v>45365</v>
      </c>
      <c r="D49" t="s">
        <v>15</v>
      </c>
      <c r="E49" t="s">
        <v>54</v>
      </c>
      <c r="F49">
        <v>-21.28</v>
      </c>
      <c r="G49">
        <f>IF(E49="Keep",F49,0)</f>
        <v>-21.28</v>
      </c>
    </row>
    <row r="50" spans="1:7" x14ac:dyDescent="0.3">
      <c r="A50">
        <v>14</v>
      </c>
      <c r="B50" t="s">
        <v>1</v>
      </c>
      <c r="C50" s="1">
        <v>45365</v>
      </c>
      <c r="D50" t="s">
        <v>16</v>
      </c>
      <c r="E50" t="s">
        <v>54</v>
      </c>
      <c r="F50">
        <v>-14.95</v>
      </c>
      <c r="G50">
        <f>IF(E50="Keep",F50,0)</f>
        <v>-14.95</v>
      </c>
    </row>
    <row r="51" spans="1:7" x14ac:dyDescent="0.3">
      <c r="A51">
        <v>49</v>
      </c>
      <c r="B51" t="s">
        <v>53</v>
      </c>
      <c r="C51" s="1">
        <v>45365</v>
      </c>
      <c r="D51" t="s">
        <v>41</v>
      </c>
      <c r="E51" t="s">
        <v>54</v>
      </c>
      <c r="F51">
        <v>-78.040000000000006</v>
      </c>
      <c r="G51">
        <f>IF(E51="Keep",F51,0)</f>
        <v>-78.040000000000006</v>
      </c>
    </row>
    <row r="52" spans="1:7" x14ac:dyDescent="0.3">
      <c r="A52">
        <v>6</v>
      </c>
      <c r="B52" t="s">
        <v>1</v>
      </c>
      <c r="C52" s="1">
        <v>45367</v>
      </c>
      <c r="D52" t="s">
        <v>10</v>
      </c>
      <c r="E52" t="s">
        <v>54</v>
      </c>
      <c r="F52">
        <v>-48.35</v>
      </c>
      <c r="G52">
        <f>IF(E52="Keep",F52,0)</f>
        <v>-48.35</v>
      </c>
    </row>
    <row r="53" spans="1:7" x14ac:dyDescent="0.3">
      <c r="A53">
        <v>7</v>
      </c>
      <c r="B53" t="s">
        <v>1</v>
      </c>
      <c r="C53" s="1">
        <v>45367</v>
      </c>
      <c r="D53" t="s">
        <v>11</v>
      </c>
      <c r="E53" t="s">
        <v>54</v>
      </c>
      <c r="F53">
        <v>-19.61</v>
      </c>
      <c r="G53">
        <f>IF(E53="Keep",F53,0)</f>
        <v>-19.61</v>
      </c>
    </row>
    <row r="54" spans="1:7" x14ac:dyDescent="0.3">
      <c r="A54">
        <v>8</v>
      </c>
      <c r="B54" t="s">
        <v>1</v>
      </c>
      <c r="C54" s="1">
        <v>45367</v>
      </c>
      <c r="D54" t="s">
        <v>12</v>
      </c>
      <c r="E54" t="s">
        <v>54</v>
      </c>
      <c r="F54">
        <v>-19.18</v>
      </c>
      <c r="G54">
        <f>IF(E54="Keep",F54,0)</f>
        <v>-19.18</v>
      </c>
    </row>
    <row r="55" spans="1:7" x14ac:dyDescent="0.3">
      <c r="A55">
        <v>48</v>
      </c>
      <c r="B55" t="s">
        <v>53</v>
      </c>
      <c r="C55" s="1">
        <v>45369</v>
      </c>
      <c r="D55" t="s">
        <v>40</v>
      </c>
      <c r="E55" t="s">
        <v>54</v>
      </c>
      <c r="F55">
        <v>-66</v>
      </c>
      <c r="G55">
        <f>IF(E55="Keep",F55,0)</f>
        <v>-66</v>
      </c>
    </row>
    <row r="56" spans="1:7" x14ac:dyDescent="0.3">
      <c r="A56">
        <v>5</v>
      </c>
      <c r="B56" t="s">
        <v>1</v>
      </c>
      <c r="C56" s="1">
        <v>45370</v>
      </c>
      <c r="D56" t="s">
        <v>9</v>
      </c>
      <c r="E56" t="s">
        <v>54</v>
      </c>
      <c r="F56">
        <v>-29.99</v>
      </c>
      <c r="G56">
        <f>IF(E56="Keep",F56,0)</f>
        <v>-29.99</v>
      </c>
    </row>
    <row r="57" spans="1:7" x14ac:dyDescent="0.3">
      <c r="A57">
        <v>3</v>
      </c>
      <c r="B57" t="s">
        <v>1</v>
      </c>
      <c r="C57" s="1">
        <v>45371</v>
      </c>
      <c r="D57" t="s">
        <v>7</v>
      </c>
      <c r="E57" t="s">
        <v>55</v>
      </c>
      <c r="F57">
        <v>1872.68</v>
      </c>
      <c r="G57">
        <f>IF(E57="Keep",F57,0)</f>
        <v>0</v>
      </c>
    </row>
    <row r="58" spans="1:7" x14ac:dyDescent="0.3">
      <c r="A58">
        <v>4</v>
      </c>
      <c r="B58" t="s">
        <v>1</v>
      </c>
      <c r="C58" s="1">
        <v>45371</v>
      </c>
      <c r="D58" t="s">
        <v>8</v>
      </c>
      <c r="E58" t="s">
        <v>54</v>
      </c>
      <c r="F58">
        <v>-11.31</v>
      </c>
      <c r="G58">
        <f>IF(E58="Keep",F58,0)</f>
        <v>-11.31</v>
      </c>
    </row>
    <row r="59" spans="1:7" x14ac:dyDescent="0.3">
      <c r="A59">
        <v>43</v>
      </c>
      <c r="B59" t="s">
        <v>35</v>
      </c>
      <c r="C59" s="1">
        <v>45371</v>
      </c>
      <c r="D59" t="s">
        <v>34</v>
      </c>
      <c r="E59" t="s">
        <v>54</v>
      </c>
      <c r="F59">
        <v>-0.99</v>
      </c>
      <c r="G59">
        <f>IF(E59="Keep",F59,0)</f>
        <v>-0.99</v>
      </c>
    </row>
    <row r="60" spans="1:7" x14ac:dyDescent="0.3">
      <c r="A60">
        <v>47</v>
      </c>
      <c r="B60" t="s">
        <v>53</v>
      </c>
      <c r="C60" s="1">
        <v>45372</v>
      </c>
      <c r="D60" t="s">
        <v>39</v>
      </c>
      <c r="E60" t="s">
        <v>55</v>
      </c>
      <c r="F60">
        <v>-1872.68</v>
      </c>
      <c r="G60">
        <f>IF(E60="Keep",F60,0)</f>
        <v>0</v>
      </c>
    </row>
    <row r="61" spans="1:7" x14ac:dyDescent="0.3">
      <c r="A61">
        <v>1</v>
      </c>
      <c r="B61" t="s">
        <v>1</v>
      </c>
      <c r="C61" s="1">
        <v>45373</v>
      </c>
      <c r="D61" t="s">
        <v>5</v>
      </c>
      <c r="E61" t="s">
        <v>54</v>
      </c>
      <c r="F61">
        <v>-50.36</v>
      </c>
      <c r="G61">
        <f>IF(E61="Keep",F61,0)</f>
        <v>-50.36</v>
      </c>
    </row>
    <row r="62" spans="1:7" x14ac:dyDescent="0.3">
      <c r="A62">
        <v>2</v>
      </c>
      <c r="B62" t="s">
        <v>1</v>
      </c>
      <c r="C62" s="1">
        <v>45373</v>
      </c>
      <c r="D62" t="s">
        <v>6</v>
      </c>
      <c r="E62" t="s">
        <v>54</v>
      </c>
      <c r="F62">
        <v>-70</v>
      </c>
      <c r="G62">
        <f>IF(E62="Keep",F62,0)</f>
        <v>-70</v>
      </c>
    </row>
    <row r="63" spans="1:7" x14ac:dyDescent="0.3">
      <c r="A63">
        <v>45</v>
      </c>
      <c r="B63" t="s">
        <v>53</v>
      </c>
      <c r="C63" s="1">
        <v>45373</v>
      </c>
      <c r="D63" t="s">
        <v>37</v>
      </c>
      <c r="E63" t="s">
        <v>54</v>
      </c>
      <c r="F63">
        <v>-114.28</v>
      </c>
      <c r="G63">
        <f>IF(E63="Keep",F63,0)</f>
        <v>-114.28</v>
      </c>
    </row>
    <row r="64" spans="1:7" x14ac:dyDescent="0.3">
      <c r="A64">
        <v>46</v>
      </c>
      <c r="B64" t="s">
        <v>53</v>
      </c>
      <c r="C64" s="1">
        <v>45373</v>
      </c>
      <c r="D64" t="s">
        <v>38</v>
      </c>
      <c r="E64" t="s">
        <v>54</v>
      </c>
      <c r="F64">
        <v>1977.86</v>
      </c>
      <c r="G64">
        <f>IF(E64="Keep",F64,0)</f>
        <v>1977.86</v>
      </c>
    </row>
  </sheetData>
  <sortState xmlns:xlrd2="http://schemas.microsoft.com/office/spreadsheetml/2017/richdata2" ref="A2:G64">
    <sortCondition ref="C2:C6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Ryan Kirkendall</cp:lastModifiedBy>
  <dcterms:created xsi:type="dcterms:W3CDTF">2015-06-05T18:17:20Z</dcterms:created>
  <dcterms:modified xsi:type="dcterms:W3CDTF">2024-03-23T02:55:58Z</dcterms:modified>
</cp:coreProperties>
</file>